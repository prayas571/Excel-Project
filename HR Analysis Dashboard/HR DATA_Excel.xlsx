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ml.chartshapes+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48E168017293D182/Documents/pgda43/EXCEL PROJECT/"/>
    </mc:Choice>
  </mc:AlternateContent>
  <xr:revisionPtr revIDLastSave="2" documentId="8_{9E026EA2-8B15-482A-B8A5-E4F58FB9293D}" xr6:coauthVersionLast="47" xr6:coauthVersionMax="47" xr10:uidLastSave="{7719CD0D-E150-48F2-B615-CCA7AD630C3B}"/>
  <bookViews>
    <workbookView xWindow="-108" yWindow="-108" windowWidth="23256" windowHeight="12456" firstSheet="8" activeTab="10" xr2:uid="{00000000-000D-0000-FFFF-FFFF00000000}"/>
  </bookViews>
  <sheets>
    <sheet name="KPI" sheetId="7" r:id="rId1"/>
    <sheet name="Rating" sheetId="8" r:id="rId2"/>
    <sheet name="Gender" sheetId="9" r:id="rId3"/>
    <sheet name="Education" sheetId="10" r:id="rId4"/>
    <sheet name="Attrition by Job" sheetId="11" r:id="rId5"/>
    <sheet name="Dept of Attrition" sheetId="12" r:id="rId6"/>
    <sheet name="Attrition by Age Group" sheetId="13" r:id="rId7"/>
    <sheet name="Martial status" sheetId="14" r:id="rId8"/>
    <sheet name="Data" sheetId="1" r:id="rId9"/>
    <sheet name="Images" sheetId="2" r:id="rId10"/>
    <sheet name="Background 2" sheetId="4" r:id="rId11"/>
  </sheets>
  <definedNames>
    <definedName name="_xlchart.v1.0" hidden="1">'Attrition by Job'!$E$4:$E$12</definedName>
    <definedName name="_xlchart.v1.1" hidden="1">'Attrition by Job'!$F$4:$F$12</definedName>
    <definedName name="_xlchart.v1.4" hidden="1">'Attrition by Job'!$E$4:$E$12</definedName>
    <definedName name="_xlchart.v1.5" hidden="1">'Attrition by Job'!$F$4:$F$12</definedName>
    <definedName name="_xlchart.v2.2" hidden="1">'Martial status'!$E$4:$E$6</definedName>
    <definedName name="_xlchart.v2.3" hidden="1">'Martial status'!$F$4:$F$6</definedName>
    <definedName name="_xlchart.v2.6" hidden="1">'Martial status'!$E$4:$E$6</definedName>
    <definedName name="_xlchart.v2.7" hidden="1">'Martial status'!$F$4:$F$6</definedName>
    <definedName name="Slicer_Department">#N/A</definedName>
    <definedName name="Slicer_Education_Field2">#N/A</definedName>
    <definedName name="Slicer_Gender">#N/A</definedName>
    <definedName name="Slicer_Gender1">#N/A</definedName>
    <definedName name="Slicer_Gender2">#N/A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0" roundtripDataChecksum="0W7NtiAel2xy0cZdwUBcRsMoEuXg6pzXui43o1bypBA="/>
    </ext>
  </extLst>
</workbook>
</file>

<file path=xl/calcChain.xml><?xml version="1.0" encoding="utf-8"?>
<calcChain xmlns="http://schemas.openxmlformats.org/spreadsheetml/2006/main">
  <c r="E5" i="14" l="1"/>
  <c r="E6" i="14"/>
  <c r="E4" i="14"/>
  <c r="E12" i="11"/>
  <c r="E10" i="11"/>
  <c r="E11" i="11"/>
  <c r="E5" i="11"/>
  <c r="E6" i="11"/>
  <c r="E7" i="11"/>
  <c r="E8" i="11"/>
  <c r="E9" i="11"/>
  <c r="E4" i="11"/>
  <c r="F5" i="14"/>
  <c r="F6" i="14"/>
  <c r="F4" i="14"/>
  <c r="F5" i="11"/>
  <c r="F8" i="11"/>
  <c r="F10" i="11"/>
  <c r="F11" i="11"/>
  <c r="F12" i="11"/>
  <c r="F6" i="11"/>
  <c r="F7" i="11"/>
  <c r="F9" i="11"/>
  <c r="F4" i="11"/>
  <c r="B11" i="9"/>
  <c r="B10" i="9"/>
  <c r="C10" i="9" l="1"/>
  <c r="C11" i="9"/>
  <c r="B9" i="8"/>
  <c r="B8" i="8"/>
  <c r="C9" i="7"/>
  <c r="B9" i="7"/>
  <c r="A9" i="7"/>
  <c r="C8" i="8" l="1"/>
  <c r="C9" i="8"/>
  <c r="D9" i="7"/>
  <c r="E9" i="7"/>
</calcChain>
</file>

<file path=xl/sharedStrings.xml><?xml version="1.0" encoding="utf-8"?>
<sst xmlns="http://schemas.openxmlformats.org/spreadsheetml/2006/main" count="19216" uniqueCount="1570">
  <si>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</si>
  <si>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</si>
  <si>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</si>
  <si>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</si>
  <si>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</si>
  <si>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</si>
  <si>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</si>
  <si>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</si>
  <si>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</si>
  <si>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</si>
  <si>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</si>
  <si>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</si>
  <si>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</si>
  <si>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</si>
  <si>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</si>
  <si>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</si>
  <si>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</si>
  <si>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</si>
  <si>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</si>
  <si>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</si>
  <si>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</si>
  <si>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</si>
  <si>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</si>
  <si>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</si>
  <si>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</si>
  <si>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</si>
  <si>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</si>
  <si>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</si>
  <si>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</si>
  <si>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</si>
  <si>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</si>
  <si>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</si>
  <si>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</si>
  <si>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</si>
  <si>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</si>
  <si>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</si>
  <si>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</si>
  <si>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</si>
  <si>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</si>
  <si>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</si>
  <si>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</si>
  <si>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</si>
  <si>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</si>
  <si>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</si>
  <si>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</si>
  <si>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</si>
  <si>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</si>
  <si>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</si>
  <si>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</si>
  <si>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</si>
  <si>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</si>
  <si>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</si>
  <si>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</si>
  <si>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</si>
  <si>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</si>
  <si>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</si>
  <si>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</si>
  <si>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</si>
  <si>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</si>
  <si>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</si>
  <si>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</si>
  <si>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</si>
  <si>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</si>
  <si>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</si>
  <si>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</si>
  <si>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</si>
  <si>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</si>
  <si>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</si>
  <si>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</si>
  <si>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</si>
  <si>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</si>
  <si>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</si>
  <si>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</si>
  <si>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</si>
  <si>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</si>
  <si>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</si>
  <si>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</si>
  <si>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</si>
  <si>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</si>
  <si>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</si>
  <si>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</si>
  <si>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</si>
  <si>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</si>
  <si>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</si>
  <si>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</si>
  <si>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</si>
  <si>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</si>
  <si>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</si>
  <si>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</si>
  <si>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</si>
  <si>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</si>
  <si>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</si>
  <si>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</si>
  <si>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</si>
  <si>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</si>
  <si>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</si>
  <si>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</si>
  <si>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</si>
  <si>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</si>
  <si>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</si>
  <si>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</si>
  <si>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</si>
  <si>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</si>
  <si>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</si>
  <si>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</si>
  <si>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</si>
  <si>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</si>
  <si>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</si>
  <si>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</si>
  <si>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</si>
  <si>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</si>
  <si>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</si>
  <si>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</si>
  <si>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</si>
  <si>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</si>
  <si>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</si>
  <si>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</si>
  <si>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</si>
  <si>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</si>
  <si>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</si>
  <si>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</si>
  <si>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</si>
  <si>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</si>
  <si>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</si>
  <si>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</si>
  <si>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</si>
  <si>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</si>
  <si>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</si>
  <si>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</si>
  <si>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</si>
  <si>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</si>
  <si>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</si>
  <si>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</si>
  <si>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</si>
  <si>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</si>
  <si>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</si>
  <si>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</si>
  <si>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</si>
  <si>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</si>
  <si>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</si>
  <si>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</si>
  <si>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</si>
  <si>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</si>
  <si>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</si>
  <si>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</si>
  <si>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</si>
  <si>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</si>
  <si>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</si>
  <si>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</si>
  <si>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</si>
  <si>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</si>
  <si>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</si>
  <si>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</si>
  <si>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</si>
  <si>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</si>
  <si>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</si>
  <si>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</si>
  <si>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</si>
  <si>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</si>
  <si>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</si>
  <si>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</si>
  <si>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</si>
  <si>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</si>
  <si>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</si>
  <si>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</si>
  <si>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</si>
  <si>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</si>
  <si>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</si>
  <si>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</si>
  <si>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</si>
  <si>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</si>
  <si>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</si>
  <si>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</si>
  <si>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</si>
  <si>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</si>
  <si>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</si>
  <si>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</si>
  <si>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</si>
  <si>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</si>
  <si>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</si>
  <si>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</si>
  <si>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</si>
  <si>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</si>
  <si>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</si>
  <si>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</si>
  <si>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</si>
  <si>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</si>
  <si>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</si>
  <si>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</si>
  <si>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</si>
  <si>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</si>
  <si>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</si>
  <si>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</si>
  <si>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</si>
  <si>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</si>
  <si>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</si>
  <si>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</si>
  <si>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</si>
  <si>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</si>
  <si>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</si>
  <si>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</si>
  <si>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</si>
  <si>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</si>
  <si>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</si>
  <si>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</si>
  <si>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</si>
  <si>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</si>
  <si>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</si>
  <si>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</si>
  <si>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</si>
  <si>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</si>
  <si>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</si>
  <si>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</si>
  <si>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</si>
  <si>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</si>
  <si>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</si>
  <si>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</si>
  <si>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</si>
  <si>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</si>
  <si>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</si>
  <si>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</si>
  <si>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</si>
  <si>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</si>
  <si>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</si>
  <si>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</si>
  <si>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</si>
  <si>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</si>
  <si>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</si>
  <si>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</si>
  <si>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</si>
  <si>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</si>
  <si>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</si>
  <si>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</si>
  <si>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</si>
  <si>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</si>
  <si>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</si>
  <si>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</si>
  <si>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</si>
  <si>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</si>
  <si>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</si>
  <si>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</si>
  <si>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</si>
  <si>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</si>
  <si>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</si>
  <si>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</si>
  <si>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</si>
  <si>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</si>
  <si>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</si>
  <si>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</si>
  <si>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</si>
  <si>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</si>
  <si>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</si>
  <si>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</si>
  <si>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</si>
  <si>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</si>
  <si>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</si>
  <si>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</si>
  <si>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</si>
  <si>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</si>
  <si>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</si>
  <si>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</si>
  <si>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</si>
  <si>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</si>
  <si>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</si>
  <si>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</si>
  <si>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</si>
  <si>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</si>
  <si>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</si>
  <si>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</si>
  <si>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</si>
  <si>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</si>
  <si>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</si>
  <si>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</si>
  <si>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</si>
  <si>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</si>
  <si>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</si>
  <si>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</si>
  <si>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</si>
  <si>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</si>
  <si>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</si>
  <si>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</si>
  <si>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</si>
  <si>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</si>
  <si>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</si>
  <si>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</si>
  <si>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</si>
  <si>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</si>
  <si>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</si>
  <si>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</si>
  <si>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</si>
  <si>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</si>
  <si>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</si>
  <si>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</si>
  <si>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</si>
  <si>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</si>
  <si>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</si>
  <si>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</si>
  <si>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</si>
  <si>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</si>
  <si>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</si>
  <si>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</si>
  <si>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</si>
  <si>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</si>
  <si>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</si>
  <si>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</si>
  <si>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</si>
  <si>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</si>
  <si>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</si>
  <si>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</si>
  <si>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</si>
  <si>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</si>
  <si>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</si>
  <si>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</si>
  <si>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</si>
  <si>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</si>
  <si>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</si>
  <si>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</si>
  <si>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</si>
  <si>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</si>
  <si>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</si>
  <si>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</si>
  <si>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</si>
  <si>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</si>
  <si>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</si>
  <si>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</si>
  <si>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</si>
  <si>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</si>
  <si>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</si>
  <si>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</si>
  <si>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</si>
  <si>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</si>
  <si>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</si>
  <si>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</si>
  <si>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</si>
  <si>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</si>
  <si>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</si>
  <si>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</si>
  <si>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</si>
  <si>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</si>
  <si>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</si>
  <si>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</si>
  <si>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</si>
  <si>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</si>
  <si>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</si>
  <si>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</si>
  <si>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</si>
  <si>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</si>
  <si>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</si>
  <si>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</si>
  <si>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</si>
  <si>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</si>
  <si>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</si>
  <si>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</si>
  <si>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</si>
  <si>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</si>
  <si>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</si>
  <si>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</si>
  <si>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</si>
  <si>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</si>
  <si>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</si>
  <si>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</si>
  <si>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</si>
  <si>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</si>
  <si>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</si>
  <si>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</si>
  <si>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</si>
  <si>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</si>
  <si>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</si>
  <si>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</si>
  <si>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</si>
  <si>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</si>
  <si>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</si>
  <si>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</si>
  <si>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</si>
  <si>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</si>
  <si>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</si>
  <si>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</si>
  <si>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</si>
  <si>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</si>
  <si>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</si>
  <si>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</si>
  <si>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</si>
  <si>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</si>
  <si>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</si>
  <si>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</si>
  <si>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</si>
  <si>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</si>
  <si>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</si>
  <si>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</si>
  <si>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</si>
  <si>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</si>
  <si>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</si>
  <si>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</si>
  <si>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</si>
  <si>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</si>
  <si>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</si>
  <si>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</si>
  <si>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</si>
  <si>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</si>
  <si>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</si>
  <si>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</si>
  <si>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</si>
  <si>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</si>
  <si>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</si>
  <si>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</si>
  <si>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</si>
  <si>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</si>
  <si>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</si>
  <si>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</si>
  <si>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</si>
  <si>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</si>
  <si>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</si>
  <si>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</si>
  <si>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</si>
  <si>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</si>
  <si>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</si>
  <si>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</si>
  <si>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</si>
  <si>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</si>
  <si>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</si>
  <si>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</si>
  <si>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</si>
  <si>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</si>
  <si>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</si>
  <si>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</si>
  <si>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</si>
  <si>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</si>
  <si>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</si>
  <si>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</si>
  <si>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</si>
  <si>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</si>
  <si>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</si>
  <si>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</si>
  <si>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</si>
  <si>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</si>
  <si>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</si>
  <si>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</si>
  <si>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</si>
  <si>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</si>
  <si>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</si>
  <si>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</si>
  <si>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</si>
  <si>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</si>
  <si>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</si>
  <si>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</si>
  <si>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</si>
  <si>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</si>
  <si>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</si>
  <si>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</si>
  <si>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</si>
  <si>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</si>
  <si>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</si>
  <si>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</si>
  <si>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</si>
  <si>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</si>
  <si>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</si>
  <si>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</si>
  <si>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</si>
  <si>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</si>
  <si>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</si>
  <si>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</si>
  <si>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</si>
  <si>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</si>
  <si>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</si>
  <si>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</si>
  <si>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</si>
  <si>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</si>
  <si>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</si>
  <si>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</si>
  <si>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</si>
  <si>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</si>
  <si>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</si>
  <si>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</si>
  <si>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</si>
  <si>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</si>
  <si>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</si>
  <si>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</si>
  <si>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</si>
  <si>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</si>
  <si>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</si>
  <si>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</si>
  <si>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</si>
  <si>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</si>
  <si>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</si>
  <si>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</si>
  <si>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</si>
  <si>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</si>
  <si>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</si>
  <si>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</si>
  <si>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</si>
  <si>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</si>
  <si>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</si>
  <si>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</si>
  <si>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</si>
  <si>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</si>
  <si>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</si>
  <si>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</si>
  <si>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</si>
  <si>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</si>
  <si>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</si>
  <si>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</si>
  <si>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</si>
  <si>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</si>
  <si>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</si>
  <si>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</si>
  <si>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</si>
  <si>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</si>
  <si>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</si>
  <si>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</si>
  <si>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</si>
  <si>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</si>
  <si>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</si>
  <si>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</si>
  <si>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</si>
  <si>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</si>
  <si>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</si>
  <si>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</si>
  <si>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</si>
  <si>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</si>
  <si>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</si>
  <si>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</si>
  <si>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</si>
  <si>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</si>
  <si>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</si>
  <si>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</si>
  <si>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</si>
  <si>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</si>
  <si>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</si>
  <si>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</si>
  <si>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</si>
  <si>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</si>
  <si>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</si>
  <si>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</si>
  <si>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</si>
  <si>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</si>
  <si>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</si>
  <si>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</si>
  <si>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</si>
  <si>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</si>
  <si>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</si>
  <si>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</si>
  <si>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</si>
  <si>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</si>
  <si>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</si>
  <si>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</si>
  <si>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</si>
  <si>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</si>
  <si>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</si>
  <si>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</si>
  <si>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</si>
  <si>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</si>
  <si>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</si>
  <si>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</si>
  <si>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</si>
  <si>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</si>
  <si>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</si>
  <si>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</si>
  <si>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</si>
  <si>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</si>
  <si>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</si>
  <si>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</si>
  <si>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</si>
  <si>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</si>
  <si>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</si>
  <si>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</si>
  <si>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</si>
  <si>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</si>
  <si>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</si>
  <si>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</si>
  <si>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</si>
  <si>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</si>
  <si>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</si>
  <si>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</si>
  <si>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</si>
  <si>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</si>
  <si>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</si>
  <si>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</si>
  <si>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</si>
  <si>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</si>
  <si>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</si>
  <si>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</si>
  <si>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</si>
  <si>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</si>
  <si>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</si>
  <si>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</si>
  <si>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</si>
  <si>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</si>
  <si>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</si>
  <si>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</si>
  <si>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</si>
  <si>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</si>
  <si>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</si>
  <si>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</si>
  <si>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</si>
  <si>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</si>
  <si>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</si>
  <si>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</si>
  <si>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</si>
  <si>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</si>
  <si>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</si>
  <si>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</si>
  <si>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</si>
  <si>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</si>
  <si>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</si>
  <si>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</si>
  <si>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</si>
  <si>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</si>
  <si>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</si>
  <si>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</si>
  <si>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</si>
  <si>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</si>
  <si>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</si>
  <si>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</si>
  <si>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</si>
  <si>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</si>
  <si>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</si>
  <si>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</si>
  <si>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</si>
  <si>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</si>
  <si>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</si>
  <si>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</si>
  <si>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</si>
  <si>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</si>
  <si>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</si>
  <si>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</si>
  <si>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</si>
  <si>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</si>
  <si>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</si>
  <si>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</si>
  <si>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</si>
  <si>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</si>
  <si>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</si>
  <si>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</si>
  <si>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</si>
  <si>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</si>
  <si>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</si>
  <si>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</si>
  <si>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</si>
  <si>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</si>
  <si>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</si>
  <si>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</si>
  <si>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</si>
  <si>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</si>
  <si>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</si>
  <si>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</si>
  <si>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</si>
  <si>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</si>
  <si>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</si>
  <si>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</si>
  <si>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</si>
  <si>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</si>
  <si>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</si>
  <si>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</si>
  <si>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</si>
  <si>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</si>
  <si>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</si>
  <si>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</si>
  <si>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</si>
  <si>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</si>
  <si>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</si>
  <si>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</si>
  <si>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</si>
  <si>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</si>
  <si>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</si>
  <si>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</si>
  <si>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</si>
  <si>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</si>
  <si>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</si>
  <si>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</si>
  <si>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</si>
  <si>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</si>
  <si>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</si>
  <si>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</si>
  <si>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</si>
  <si>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</si>
  <si>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</si>
  <si>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</si>
  <si>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</si>
  <si>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</si>
  <si>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</si>
  <si>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</si>
  <si>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</si>
  <si>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</si>
  <si>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</si>
  <si>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</si>
  <si>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</si>
  <si>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</si>
  <si>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</si>
  <si>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</si>
  <si>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</si>
  <si>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</si>
  <si>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</si>
  <si>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</si>
  <si>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</si>
  <si>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</si>
  <si>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</si>
  <si>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</si>
  <si>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</si>
  <si>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</si>
  <si>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</si>
  <si>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</si>
  <si>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</si>
  <si>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</si>
  <si>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</si>
  <si>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</si>
  <si>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</si>
  <si>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</si>
  <si>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</si>
  <si>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</si>
  <si>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</si>
  <si>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</si>
  <si>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</si>
  <si>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</si>
  <si>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</si>
  <si>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</si>
  <si>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</si>
  <si>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</si>
  <si>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</si>
  <si>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</si>
  <si>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</si>
  <si>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</si>
  <si>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</si>
  <si>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</si>
  <si>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</si>
  <si>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</si>
  <si>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</si>
  <si>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</si>
  <si>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</si>
  <si>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</si>
  <si>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</si>
  <si>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</si>
  <si>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</si>
  <si>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</si>
  <si>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</si>
  <si>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</si>
  <si>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</si>
  <si>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</si>
  <si>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</si>
  <si>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</si>
  <si>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</si>
  <si>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</si>
  <si>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</si>
  <si>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</si>
  <si>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</si>
  <si>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</si>
  <si>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</si>
  <si>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</si>
  <si>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</si>
  <si>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</si>
  <si>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</si>
  <si>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</si>
  <si>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</si>
  <si>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</si>
  <si>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</si>
  <si>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</si>
  <si>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</si>
  <si>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</si>
  <si>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</si>
  <si>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</si>
  <si>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</si>
  <si>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</si>
  <si>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</si>
  <si>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</si>
  <si>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</si>
  <si>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</si>
  <si>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</si>
  <si>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</si>
  <si>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</si>
  <si>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</si>
  <si>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</si>
  <si>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</si>
  <si>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</si>
  <si>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</si>
  <si>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</si>
  <si>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</si>
  <si>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</si>
  <si>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</si>
  <si>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</si>
  <si>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</si>
  <si>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</si>
  <si>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</si>
  <si>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</si>
  <si>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</si>
  <si>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</si>
  <si>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</si>
  <si>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</si>
  <si>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</si>
  <si>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</si>
  <si>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</si>
  <si>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</si>
  <si>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</si>
  <si>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</si>
  <si>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</si>
  <si>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</si>
  <si>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</si>
  <si>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</si>
  <si>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</si>
  <si>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</si>
  <si>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</si>
  <si>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</si>
  <si>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</si>
  <si>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</si>
  <si>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</si>
  <si>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</si>
  <si>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</si>
  <si>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</si>
  <si>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</si>
  <si>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</si>
  <si>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</si>
  <si>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</si>
  <si>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</si>
  <si>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</si>
  <si>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</si>
  <si>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</si>
  <si>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</si>
  <si>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</si>
  <si>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</si>
  <si>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</si>
  <si>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</si>
  <si>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</si>
  <si>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</si>
  <si>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</si>
  <si>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</si>
  <si>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</si>
  <si>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</si>
  <si>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</si>
  <si>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</si>
  <si>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</si>
  <si>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</si>
  <si>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</si>
  <si>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</si>
  <si>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</si>
  <si>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</si>
  <si>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</si>
  <si>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</si>
  <si>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</si>
  <si>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</si>
  <si>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</si>
  <si>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</si>
  <si>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</si>
  <si>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</si>
  <si>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</si>
  <si>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</si>
  <si>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</si>
  <si>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</si>
  <si>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</si>
  <si>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</si>
  <si>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</si>
  <si>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</si>
  <si>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</si>
  <si>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</si>
  <si>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</si>
  <si>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</si>
  <si>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</si>
  <si>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</si>
  <si>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</si>
  <si>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</si>
  <si>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</si>
  <si>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</si>
  <si>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</si>
  <si>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</si>
  <si>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</si>
  <si>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</si>
  <si>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</si>
  <si>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</si>
  <si>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</si>
  <si>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</si>
  <si>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</si>
  <si>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</si>
  <si>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</si>
  <si>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</si>
  <si>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</si>
  <si>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</si>
  <si>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</si>
  <si>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</si>
  <si>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</si>
  <si>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</si>
  <si>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</si>
  <si>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</si>
  <si>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</si>
  <si>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</si>
  <si>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</si>
  <si>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</si>
  <si>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</si>
  <si>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</si>
  <si>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</si>
  <si>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</si>
  <si>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</si>
  <si>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</si>
  <si>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</si>
  <si>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</si>
  <si>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</si>
  <si>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</si>
  <si>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</si>
  <si>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</si>
  <si>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</si>
  <si>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</si>
  <si>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</si>
  <si>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</si>
  <si>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</si>
  <si>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</si>
  <si>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</si>
  <si>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</si>
  <si>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</si>
  <si>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</si>
  <si>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</si>
  <si>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</si>
  <si>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</si>
  <si>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</si>
  <si>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</si>
  <si>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</si>
  <si>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</si>
  <si>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</si>
  <si>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</si>
  <si>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</si>
  <si>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</si>
  <si>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</si>
  <si>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</si>
  <si>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</si>
  <si>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</si>
  <si>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</si>
  <si>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</si>
  <si>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</si>
  <si>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</si>
  <si>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</si>
  <si>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</si>
  <si>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</si>
  <si>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</si>
  <si>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</si>
  <si>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</si>
  <si>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</si>
  <si>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</si>
  <si>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</si>
  <si>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</si>
  <si>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</si>
  <si>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</si>
  <si>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</si>
  <si>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</si>
  <si>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</si>
  <si>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</si>
  <si>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</si>
  <si>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</si>
  <si>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</si>
  <si>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</si>
  <si>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</si>
  <si>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</si>
  <si>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</si>
  <si>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</si>
  <si>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</si>
  <si>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</si>
  <si>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</si>
  <si>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</si>
  <si>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</si>
  <si>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</si>
  <si>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</si>
  <si>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</si>
  <si>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</si>
  <si>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</si>
  <si>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</si>
  <si>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</si>
  <si>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</si>
  <si>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</si>
  <si>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</si>
  <si>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</si>
  <si>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</si>
  <si>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</si>
  <si>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</si>
  <si>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</si>
  <si>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</si>
  <si>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</si>
  <si>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</si>
  <si>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</si>
  <si>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</si>
  <si>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</si>
  <si>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</si>
  <si>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</si>
  <si>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</si>
  <si>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</si>
  <si>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</si>
  <si>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</si>
  <si>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</si>
  <si>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</si>
  <si>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</si>
  <si>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</si>
  <si>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</si>
  <si>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</si>
  <si>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</si>
  <si>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</si>
  <si>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</si>
  <si>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</si>
  <si>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</si>
  <si>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</si>
  <si>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</si>
  <si>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</si>
  <si>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</si>
  <si>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</si>
  <si>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</si>
  <si>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</si>
  <si>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</si>
  <si>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</si>
  <si>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</si>
  <si>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</si>
  <si>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</si>
  <si>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</si>
  <si>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</si>
  <si>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</si>
  <si>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</si>
  <si>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</si>
  <si>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</si>
  <si>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</si>
  <si>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</si>
  <si>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</si>
  <si>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</si>
  <si>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</si>
  <si>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</si>
  <si>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</si>
  <si>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</si>
  <si>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</si>
  <si>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</si>
  <si>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</si>
  <si>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</si>
  <si>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</si>
  <si>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</si>
  <si>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</si>
  <si>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</si>
  <si>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</si>
  <si>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</si>
  <si>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</si>
  <si>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</si>
  <si>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</si>
  <si>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</si>
  <si>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</si>
  <si>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</si>
  <si>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</si>
  <si>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</si>
  <si>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</si>
  <si>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</si>
  <si>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</si>
  <si>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</si>
  <si>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</si>
  <si>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</si>
  <si>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</si>
  <si>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</si>
  <si>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</si>
  <si>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</si>
  <si>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</si>
  <si>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</si>
  <si>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</si>
  <si>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</si>
  <si>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</si>
  <si>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</si>
  <si>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</si>
  <si>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</si>
  <si>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</si>
  <si>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</si>
  <si>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</si>
  <si>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</si>
  <si>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</si>
  <si>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</si>
  <si>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</si>
  <si>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</si>
  <si>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</si>
  <si>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</si>
  <si>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</si>
  <si>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</si>
  <si>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</si>
  <si>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</si>
  <si>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</si>
  <si>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</si>
  <si>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</si>
  <si>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</si>
  <si>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</si>
  <si>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</si>
  <si>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</si>
  <si>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</si>
  <si>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</si>
  <si>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</si>
  <si>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</si>
  <si>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</si>
  <si>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</si>
  <si>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</si>
  <si>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</si>
  <si>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</si>
  <si>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</si>
  <si>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</si>
  <si>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</si>
  <si>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</si>
  <si>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</si>
  <si>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</si>
  <si>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</si>
  <si>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</si>
  <si>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</si>
  <si>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</si>
  <si>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</si>
  <si>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</si>
  <si>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</si>
  <si>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</si>
  <si>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</si>
  <si>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</si>
  <si>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</si>
  <si>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</si>
  <si>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</si>
  <si>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</si>
  <si>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</si>
  <si>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</si>
  <si>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</si>
  <si>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</si>
  <si>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</si>
  <si>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</si>
  <si>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</si>
  <si>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</si>
  <si>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</si>
  <si>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</si>
  <si>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</si>
  <si>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</si>
  <si>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</si>
  <si>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</si>
  <si>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</si>
  <si>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</si>
  <si>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</si>
  <si>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</si>
  <si>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</si>
  <si>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</si>
  <si>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</si>
  <si>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</si>
  <si>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</si>
  <si>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</si>
  <si>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</si>
  <si>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</si>
  <si>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</si>
  <si>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</si>
  <si>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</si>
  <si>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</si>
  <si>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</si>
  <si>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</si>
  <si>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</si>
  <si>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</si>
  <si>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</si>
  <si>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</si>
  <si>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</si>
  <si>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</si>
  <si>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</si>
  <si>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</si>
  <si>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</si>
  <si>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</si>
  <si>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</si>
  <si>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</si>
  <si>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</si>
  <si>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</si>
  <si>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</si>
  <si>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</si>
  <si>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</si>
  <si>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</si>
  <si>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</si>
  <si>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</si>
  <si>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</si>
  <si>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</si>
  <si>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</si>
  <si>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</si>
  <si>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</si>
  <si>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</si>
  <si>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</si>
  <si>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</si>
  <si>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</si>
  <si>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</si>
  <si>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</si>
  <si>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</si>
  <si>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</si>
  <si>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</si>
  <si>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</si>
  <si>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</si>
  <si>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</si>
  <si>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</si>
  <si>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</si>
  <si>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</si>
  <si>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</si>
  <si>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</si>
  <si>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</si>
  <si>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</si>
  <si>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</si>
  <si>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</si>
  <si>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</si>
  <si>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</si>
  <si>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</si>
  <si>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</si>
  <si>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</si>
  <si>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</si>
  <si>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</si>
  <si>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</si>
  <si>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</si>
  <si>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</si>
  <si>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</si>
  <si>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</si>
  <si>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</si>
  <si>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</si>
  <si>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</si>
  <si>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</si>
  <si>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</si>
  <si>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</si>
  <si>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</si>
  <si>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</si>
  <si>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</si>
  <si>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</si>
  <si>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</si>
  <si>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</si>
  <si>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</si>
  <si>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</si>
  <si>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</si>
  <si>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</si>
  <si>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</si>
  <si>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</si>
  <si>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</si>
  <si>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</si>
  <si>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</si>
  <si>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</si>
  <si>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</si>
  <si>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</si>
  <si>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</si>
  <si>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</si>
  <si>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</si>
  <si>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</si>
  <si>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</si>
  <si>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</si>
  <si>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</si>
  <si>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</si>
  <si>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</si>
  <si>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</si>
  <si>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</si>
  <si>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</si>
  <si>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</si>
  <si>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</si>
  <si>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</si>
  <si>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</si>
  <si>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</si>
  <si>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</si>
  <si>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</si>
  <si>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</si>
  <si>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</si>
  <si>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</si>
  <si>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</si>
  <si>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</si>
  <si>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</si>
  <si>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</si>
  <si>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</si>
  <si>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</si>
  <si>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</si>
  <si>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</si>
  <si>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</si>
  <si>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</si>
  <si>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</si>
  <si>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</si>
  <si>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</si>
  <si>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</si>
  <si>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</si>
  <si>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</si>
  <si>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</si>
  <si>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</si>
  <si>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</si>
  <si>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</si>
  <si>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</si>
  <si>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</si>
  <si>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</si>
  <si>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</si>
  <si>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</si>
  <si>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</si>
  <si>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</si>
  <si>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</si>
  <si>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</si>
  <si>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</si>
  <si>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</si>
  <si>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</si>
  <si>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</si>
  <si>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</si>
  <si>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</si>
  <si>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</si>
  <si>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</si>
  <si>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</si>
  <si>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</si>
  <si>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</si>
  <si>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</si>
  <si>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</si>
  <si>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</si>
  <si>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</si>
  <si>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</si>
  <si>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</si>
  <si>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</si>
  <si>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</si>
  <si>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</si>
  <si>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</si>
  <si>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</si>
  <si>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</si>
  <si>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</si>
  <si>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</si>
  <si>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</si>
  <si>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</si>
  <si>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</si>
  <si>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</si>
  <si>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</si>
  <si>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</si>
  <si>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</si>
  <si>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</si>
  <si>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</si>
  <si>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</si>
  <si>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</si>
  <si>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</si>
  <si>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</si>
  <si>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</si>
  <si>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</si>
  <si>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</si>
  <si>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</si>
  <si>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</si>
  <si>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</si>
  <si>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</si>
  <si>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</si>
  <si>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</si>
  <si>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</si>
  <si>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</si>
  <si>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</si>
  <si>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</si>
  <si>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</si>
  <si>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</si>
  <si>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</si>
  <si>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</si>
  <si>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</si>
  <si>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</si>
  <si>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</si>
  <si>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</si>
  <si>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</si>
  <si>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</si>
  <si>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</si>
  <si>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</si>
  <si>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</si>
  <si>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</si>
  <si>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</si>
  <si>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</si>
  <si>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</si>
  <si>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</si>
  <si>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</si>
  <si>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</si>
  <si>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</si>
  <si>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</si>
  <si>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</si>
  <si>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</si>
  <si>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</si>
  <si>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</si>
  <si>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</si>
  <si>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</si>
  <si>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</si>
  <si>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</si>
  <si>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</si>
  <si>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</si>
  <si>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</si>
  <si>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</si>
  <si>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</si>
  <si>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</si>
  <si>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</si>
  <si>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</si>
  <si>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</si>
  <si>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</si>
  <si>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</si>
  <si>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</si>
  <si>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</si>
  <si>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</si>
  <si>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</si>
  <si>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</si>
  <si>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</si>
  <si>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</si>
  <si>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</si>
  <si>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</si>
  <si>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</si>
  <si>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</si>
  <si>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</si>
  <si>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</si>
  <si>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</si>
  <si>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</si>
  <si>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</si>
  <si>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</si>
  <si>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</si>
  <si>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</si>
  <si>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</si>
  <si>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</si>
  <si>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</si>
  <si>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</si>
  <si>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</si>
  <si>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</si>
  <si>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</si>
  <si>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</si>
  <si>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</si>
  <si>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</si>
  <si>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</si>
  <si>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</si>
  <si>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</si>
  <si>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</si>
  <si>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</si>
  <si>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</si>
  <si>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</si>
  <si>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</si>
  <si>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</si>
  <si>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</si>
  <si>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</si>
  <si>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</si>
  <si>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</si>
  <si>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</si>
  <si>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</si>
  <si>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</si>
  <si>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</si>
  <si>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</si>
  <si>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</si>
  <si>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</si>
  <si>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</si>
  <si>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</si>
  <si>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</si>
  <si>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</si>
  <si>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</si>
  <si>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</si>
  <si>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</si>
  <si>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</si>
  <si>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</si>
  <si>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</si>
  <si>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</si>
  <si>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</si>
  <si>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</si>
  <si>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</si>
  <si>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</si>
  <si>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</si>
  <si>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</si>
  <si>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</si>
  <si>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</si>
  <si>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</si>
  <si>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</si>
  <si>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</si>
  <si>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</si>
  <si>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</si>
  <si>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</si>
  <si>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</si>
  <si>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</si>
  <si>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</si>
  <si>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</si>
  <si>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</si>
  <si>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</si>
  <si>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</si>
  <si>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</si>
  <si>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</si>
  <si>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</si>
  <si>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</si>
  <si>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</si>
  <si>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</si>
  <si>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</si>
  <si>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</si>
  <si>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</si>
  <si>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</si>
  <si>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</si>
  <si>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</si>
  <si>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</si>
  <si>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</si>
  <si>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</si>
  <si>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</si>
  <si>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</si>
  <si>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</si>
  <si>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</si>
  <si>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</si>
  <si>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</si>
  <si>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</si>
  <si>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</si>
  <si>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</si>
  <si>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</si>
  <si>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</si>
  <si>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</si>
  <si>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</si>
  <si>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</si>
  <si>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</si>
  <si>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</si>
  <si>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</si>
  <si>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</si>
  <si>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</si>
  <si>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</si>
  <si>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</si>
  <si>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</si>
  <si>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</si>
  <si>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</si>
  <si>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</si>
  <si>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</si>
  <si>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</si>
  <si>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</si>
  <si>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</si>
  <si>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</si>
  <si>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</si>
  <si>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</si>
  <si>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</si>
  <si>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</si>
  <si>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</si>
  <si>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</si>
  <si>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</si>
  <si>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</si>
  <si>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</si>
  <si>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</si>
  <si>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</si>
  <si>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</si>
  <si>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</si>
  <si>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</si>
  <si>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</si>
  <si>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</si>
  <si>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</si>
  <si>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</si>
  <si>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</si>
  <si>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</si>
  <si>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</si>
  <si>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</si>
  <si>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</si>
  <si>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</si>
  <si>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</si>
  <si>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</si>
  <si>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</si>
  <si>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</si>
  <si>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</si>
  <si>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</si>
  <si>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</si>
  <si>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</si>
  <si>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</si>
  <si>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</si>
  <si>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</si>
  <si>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</si>
  <si>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</si>
  <si>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</si>
  <si>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</si>
  <si>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</si>
  <si>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</si>
  <si>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</si>
  <si>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</si>
  <si>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</si>
  <si>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</si>
  <si>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</si>
  <si>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</si>
  <si>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</si>
  <si>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</si>
  <si>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</si>
  <si>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</si>
  <si>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</si>
  <si>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</si>
  <si>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</si>
  <si>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</si>
  <si>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</si>
  <si>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</si>
  <si>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</si>
  <si>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</si>
  <si>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</si>
  <si>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</si>
  <si>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</si>
  <si>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</si>
  <si>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</si>
  <si>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</si>
  <si>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</si>
  <si>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</si>
  <si>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</si>
  <si>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</si>
  <si>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</si>
  <si>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</si>
  <si>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</si>
  <si>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</si>
  <si>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</si>
  <si>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Employees</t>
  </si>
  <si>
    <t>Attrition Rate</t>
  </si>
  <si>
    <t>Average of Job Satisfaction</t>
  </si>
  <si>
    <t>Rating</t>
  </si>
  <si>
    <t>Balance Rating</t>
  </si>
  <si>
    <t>Row Labels</t>
  </si>
  <si>
    <t>Grand Total</t>
  </si>
  <si>
    <t>Count of Employee Count</t>
  </si>
  <si>
    <t>Count of Attrition</t>
  </si>
  <si>
    <t>Martial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</si>
</sst>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2"/>
      <color theme="1"/>
      <name val="Calibri"/>
      <scheme val="minor"/>
    </font>
    <font>
      <sz val="12"/>
      <color theme="1"/>
      <name val="Calibri"/>
      <family val="2"/>
      <scheme val="minor"/>
    </font>
    <font>
      <sz val="12"/>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79998168889431442"/>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s>
  <cellStyleXfs count="2">
    <xf numFmtId="0" fontId="0" fillId="0" borderId="0"/>
    <xf numFmtId="9" fontId="2" fillId="0" borderId="0" applyFont="0" applyFill="0" applyBorder="0" applyAlignment="0" applyProtection="0"/>
  </cellStyleXfs>
  <cellXfs count="23">
    <xf numFmtId="0" fontId="0" fillId="0" borderId="0" xfId="0"/>
    <xf numFmtId="0" fontId="1" fillId="0" borderId="0" xfId="0" applyFont="1"/>
    <xf numFmtId="0" fontId="0" fillId="0" borderId="3" xfId="0" applyBorder="1"/>
    <xf numFmtId="0" fontId="0" fillId="0" borderId="4" xfId="0" applyBorder="1"/>
    <xf numFmtId="0" fontId="0" fillId="0" borderId="6" xfId="0" applyBorder="1"/>
    <xf numFmtId="0" fontId="0" fillId="0" borderId="7" xfId="0" applyBorder="1"/>
    <xf numFmtId="0" fontId="0" fillId="0" borderId="9" xfId="0" applyBorder="1"/>
    <xf numFmtId="0" fontId="0" fillId="2" borderId="1" xfId="0" applyFill="1" applyBorder="1"/>
    <xf numFmtId="0" fontId="0" fillId="3" borderId="8" xfId="0" applyFill="1" applyBorder="1"/>
    <xf numFmtId="0" fontId="0" fillId="4" borderId="5" xfId="0" applyFill="1" applyBorder="1"/>
    <xf numFmtId="9" fontId="0" fillId="0" borderId="0" xfId="1" applyFont="1"/>
    <xf numFmtId="10" fontId="0" fillId="0" borderId="0" xfId="1" applyNumberFormat="1" applyFont="1"/>
    <xf numFmtId="164" fontId="0" fillId="0" borderId="0" xfId="0" applyNumberFormat="1"/>
    <xf numFmtId="1" fontId="0" fillId="0" borderId="0" xfId="0" applyNumberFormat="1"/>
    <xf numFmtId="164" fontId="0" fillId="0" borderId="4" xfId="0" applyNumberFormat="1"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10" xfId="0" applyBorder="1"/>
    <xf numFmtId="0" fontId="0" fillId="0" borderId="6" xfId="0" applyBorder="1" applyAlignment="1">
      <alignment horizontal="left"/>
    </xf>
    <xf numFmtId="10" fontId="0" fillId="0" borderId="3" xfId="0" applyNumberFormat="1" applyBorder="1"/>
    <xf numFmtId="10" fontId="0" fillId="0" borderId="10" xfId="0" applyNumberFormat="1" applyBorder="1"/>
    <xf numFmtId="10" fontId="0" fillId="0" borderId="4" xfId="0" applyNumberFormat="1" applyBorder="1"/>
  </cellXfs>
  <cellStyles count="2">
    <cellStyle name="Normal" xfId="0" builtinId="0"/>
    <cellStyle name="Percent" xfId="1" builtinId="5"/>
  </cellStyles>
  <dxfs count="7">
    <dxf>
      <numFmt numFmtId="164" formatCode="0.0"/>
    </dxf>
    <dxf>
      <fill>
        <patternFill patternType="solid">
          <bgColor theme="5" tint="0.79998168889431442"/>
        </patternFill>
      </fill>
    </dxf>
    <dxf>
      <fill>
        <patternFill patternType="solid">
          <bgColor theme="4" tint="0.59999389629810485"/>
        </patternFill>
      </fill>
    </dxf>
    <dxf>
      <fill>
        <patternFill patternType="solid">
          <bgColor rgb="FFFFFF00"/>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3">
    <tableStyle name="Data-style" pivot="0" count="3" xr9:uid="{00000000-0011-0000-FFFF-FFFF00000000}">
      <tableStyleElement type="headerRow" dxfId="6"/>
      <tableStyleElement type="firstRowStripe" dxfId="5"/>
      <tableStyleElement type="secondRowStripe" dxfId="4"/>
    </tableStyle>
    <tableStyle name="Slicer" pivot="0" table="0" count="1" xr9:uid="{9DAED2C9-39BB-42EA-A31F-F7CE04C0FBB3}"/>
    <tableStyle name="Slicer " pivot="0" table="0" count="0" xr9:uid="{58499239-0D1C-45AA-AF6D-78B6C7893B1C}"/>
  </tableStyles>
  <colors>
    <mruColors>
      <color rgb="FF66FF66"/>
      <color rgb="FFF5FBFD"/>
      <color rgb="FF00CCFF"/>
      <color rgb="FFFF66FF"/>
      <color rgb="FF0CD6CC"/>
      <color rgb="FFCA0FD3"/>
      <color rgb="FFFCF5FD"/>
      <color rgb="FF808000"/>
      <color rgb="FF990099"/>
      <color rgb="FFFF0066"/>
    </mruColors>
  </colors>
  <extLst>
    <ext xmlns:x14="http://schemas.microsoft.com/office/spreadsheetml/2009/9/main" uri="{46F421CA-312F-682f-3DD2-61675219B42D}">
      <x14:dxfs count="1">
        <dxf>
          <font>
            <b/>
            <i val="0"/>
            <name val="Calibri"/>
            <family val="2"/>
            <scheme val="minor"/>
          </font>
          <fill>
            <gradientFill degree="90">
              <stop position="0">
                <color theme="9" tint="-0.25098422193060094"/>
              </stop>
              <stop position="1">
                <color theme="4"/>
              </stop>
            </gradientFill>
          </fill>
        </dxf>
      </x14:dxfs>
    </ext>
    <ext xmlns:x14="http://schemas.microsoft.com/office/spreadsheetml/2009/9/main" uri="{EB79DEF2-80B8-43e5-95BD-54CBDDF9020C}">
      <x14:slicerStyles defaultSlicerStyle="SlicerStyleLight1">
        <x14:slicerStyle name="Slicer">
          <x14:slicerStyleElements>
            <x14:slicerStyleElement type="selectedItemWithData" dxfId="0"/>
          </x14:slicerStyleElements>
        </x14:slicerStyle>
        <x14:slicerStyle name="Slicer "/>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561170525326127"/>
          <c:y val="0.10503041186837292"/>
          <c:w val="0.47261396429923869"/>
          <c:h val="0.80164900273541762"/>
        </c:manualLayout>
      </c:layout>
      <c:doughnut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372-45CA-9B15-002CB158C08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372-45CA-9B15-002CB158C0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Rating!$C$8:$C$9</c:f>
              <c:numCache>
                <c:formatCode>General</c:formatCode>
                <c:ptCount val="2"/>
                <c:pt idx="0">
                  <c:v>0.66326530612244894</c:v>
                </c:pt>
                <c:pt idx="1">
                  <c:v>0.33673469387755106</c:v>
                </c:pt>
              </c:numCache>
            </c:numRef>
          </c:val>
          <c:extLst>
            <c:ext xmlns:c16="http://schemas.microsoft.com/office/drawing/2014/chart" uri="{C3380CC4-5D6E-409C-BE32-E72D297353CC}">
              <c16:uniqueId val="{00000000-BC1B-4A4D-B7EE-DBA961D8CB18}"/>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9236829148202856E-2"/>
          <c:y val="0.34759068577966218"/>
          <c:w val="0.89167897587395373"/>
          <c:h val="0.35897435897435903"/>
        </c:manualLayout>
      </c:layout>
      <c:barChart>
        <c:barDir val="bar"/>
        <c:grouping val="clustered"/>
        <c:varyColors val="0"/>
        <c:ser>
          <c:idx val="0"/>
          <c:order val="0"/>
          <c:spPr>
            <a:solidFill>
              <a:schemeClr val="accent1"/>
            </a:solidFill>
            <a:ln>
              <a:noFill/>
            </a:ln>
            <a:effectLst/>
          </c:spPr>
          <c:invertIfNegative val="0"/>
          <c:val>
            <c:numRef>
              <c:f>Rating!$B$8</c:f>
              <c:numCache>
                <c:formatCode>0.0</c:formatCode>
                <c:ptCount val="1"/>
                <c:pt idx="0">
                  <c:v>2.6530612244897958</c:v>
                </c:pt>
              </c:numCache>
            </c:numRef>
          </c:val>
          <c:extLst>
            <c:ext xmlns:c16="http://schemas.microsoft.com/office/drawing/2014/chart" uri="{C3380CC4-5D6E-409C-BE32-E72D297353CC}">
              <c16:uniqueId val="{00000000-1157-4D65-B7F8-1ED5B85E775D}"/>
            </c:ext>
          </c:extLst>
        </c:ser>
        <c:ser>
          <c:idx val="1"/>
          <c:order val="1"/>
          <c:spPr>
            <a:solidFill>
              <a:schemeClr val="accent2"/>
            </a:solidFill>
            <a:ln>
              <a:noFill/>
            </a:ln>
            <a:effectLst/>
          </c:spPr>
          <c:invertIfNegative val="0"/>
          <c:val>
            <c:numRef>
              <c:f>Rating!$B$9</c:f>
              <c:numCache>
                <c:formatCode>0.0</c:formatCode>
                <c:ptCount val="1"/>
                <c:pt idx="0">
                  <c:v>1.3469387755102042</c:v>
                </c:pt>
              </c:numCache>
            </c:numRef>
          </c:val>
          <c:extLst>
            <c:ext xmlns:c16="http://schemas.microsoft.com/office/drawing/2014/chart" uri="{C3380CC4-5D6E-409C-BE32-E72D297353CC}">
              <c16:uniqueId val="{00000005-1157-4D65-B7F8-1ED5B85E775D}"/>
            </c:ext>
          </c:extLst>
        </c:ser>
        <c:dLbls>
          <c:showLegendKey val="0"/>
          <c:showVal val="0"/>
          <c:showCatName val="0"/>
          <c:showSerName val="0"/>
          <c:showPercent val="0"/>
          <c:showBubbleSize val="0"/>
        </c:dLbls>
        <c:gapWidth val="182"/>
        <c:axId val="1910692911"/>
        <c:axId val="1910694831"/>
      </c:barChart>
      <c:catAx>
        <c:axId val="1910692911"/>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694831"/>
        <c:crosses val="autoZero"/>
        <c:auto val="1"/>
        <c:lblAlgn val="ctr"/>
        <c:lblOffset val="100"/>
        <c:noMultiLvlLbl val="0"/>
      </c:catAx>
      <c:valAx>
        <c:axId val="1910694831"/>
        <c:scaling>
          <c:orientation val="minMax"/>
          <c:max val="4"/>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69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157232704402516"/>
          <c:y val="0.22060185185185188"/>
          <c:w val="0.50169327527818097"/>
          <c:h val="0.48009259259259257"/>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0E-4C29-8555-0C8168305B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0E-4C29-8555-0C8168305BD5}"/>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0-2361-4A0E-9397-D0F2795E850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40113735783025"/>
          <c:y val="0.14351851851851852"/>
          <c:w val="0.57426552930883634"/>
          <c:h val="0.59167468649752109"/>
        </c:manualLayout>
      </c:layout>
      <c:barChart>
        <c:barDir val="bar"/>
        <c:grouping val="clustered"/>
        <c:varyColors val="0"/>
        <c:ser>
          <c:idx val="0"/>
          <c:order val="0"/>
          <c:tx>
            <c:strRef>
              <c:f>Education!$B$3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80CA-49CE-A5E6-5EBFFE89BA81}"/>
            </c:ext>
          </c:extLst>
        </c:ser>
        <c:dLbls>
          <c:dLblPos val="outEnd"/>
          <c:showLegendKey val="0"/>
          <c:showVal val="1"/>
          <c:showCatName val="0"/>
          <c:showSerName val="0"/>
          <c:showPercent val="0"/>
          <c:showBubbleSize val="0"/>
        </c:dLbls>
        <c:gapWidth val="182"/>
        <c:axId val="1897550447"/>
        <c:axId val="1897554767"/>
      </c:barChart>
      <c:catAx>
        <c:axId val="18975504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554767"/>
        <c:crosses val="autoZero"/>
        <c:auto val="1"/>
        <c:lblAlgn val="ctr"/>
        <c:lblOffset val="100"/>
        <c:noMultiLvlLbl val="0"/>
      </c:catAx>
      <c:valAx>
        <c:axId val="18975547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55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of Attrition!PivotTable7</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'Dept of Attrition'!$B$3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48E-4221-9C3B-D1F877E32CD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48E-4221-9C3B-D1F877E32CD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48E-4221-9C3B-D1F877E32C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'Dept of Attrition'!$A$4:$A$7</c:f>
              <c:strCache>
                <c:ptCount val="3"/>
                <c:pt idx="0">
                  <c:v>HR</c:v>
                </c:pt>
                <c:pt idx="1">
                  <c:v>R&amp;D</c:v>
                </c:pt>
                <c:pt idx="2">
                  <c:v>Sales</c:v>
                </c:pt>
              </c:strCache>
            </c:strRef>
          </c:cat>
          <c:val>
            <c:numRef>
              <c:f>'Dept of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A703-4187-9997-C989AB6305E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Group!PivotTable8</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'Attrition by Age Group'!$B$3</c:f>
              <c:strCache>
                <c:ptCount val="1"/>
                <c:pt idx="0">
                  <c:v>Total</c:v>
                </c:pt>
              </c:strCache>
            </c:strRef>
          </c:tx>
          <c:spPr>
            <a:solidFill>
              <a:schemeClr val="accent1"/>
            </a:solidFill>
            <a:ln>
              <a:noFill/>
            </a:ln>
            <a:effectLst/>
            <a:sp3d/>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E44-42C3-900C-DC1EA4800427}"/>
            </c:ext>
          </c:extLst>
        </c:ser>
        <c:dLbls>
          <c:showLegendKey val="0"/>
          <c:showVal val="0"/>
          <c:showCatName val="0"/>
          <c:showSerName val="0"/>
          <c:showPercent val="0"/>
          <c:showBubbleSize val="0"/>
        </c:dLbls>
        <c:gapWidth val="150"/>
        <c:shape val="box"/>
        <c:axId val="1897506287"/>
        <c:axId val="1897502447"/>
        <c:axId val="0"/>
      </c:bar3DChart>
      <c:catAx>
        <c:axId val="18975062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502447"/>
        <c:crosses val="autoZero"/>
        <c:auto val="1"/>
        <c:lblAlgn val="ctr"/>
        <c:lblOffset val="100"/>
        <c:noMultiLvlLbl val="0"/>
      </c:catAx>
      <c:valAx>
        <c:axId val="18975024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50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551101566849598"/>
          <c:y val="0"/>
          <c:w val="0.57470554975990074"/>
          <c:h val="1"/>
        </c:manualLayout>
      </c:layout>
      <c:doughnut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AF7-4810-B730-E5ACBE86637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AF7-4810-B730-E5ACBE86637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Rating!$C$8:$C$9</c:f>
              <c:numCache>
                <c:formatCode>General</c:formatCode>
                <c:ptCount val="2"/>
                <c:pt idx="0">
                  <c:v>0.66326530612244894</c:v>
                </c:pt>
                <c:pt idx="1">
                  <c:v>0.33673469387755106</c:v>
                </c:pt>
              </c:numCache>
            </c:numRef>
          </c:val>
          <c:extLst>
            <c:ext xmlns:c16="http://schemas.microsoft.com/office/drawing/2014/chart" uri="{C3380CC4-5D6E-409C-BE32-E72D297353CC}">
              <c16:uniqueId val="{00000004-2AF7-4810-B730-E5ACBE866376}"/>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391025601993651"/>
          <c:y val="0.21629200890023573"/>
          <c:w val="0.6021641077248765"/>
          <c:h val="0.33518615469481833"/>
        </c:manualLayout>
      </c:layout>
      <c:barChart>
        <c:barDir val="bar"/>
        <c:grouping val="clustered"/>
        <c:varyColors val="0"/>
        <c:ser>
          <c:idx val="0"/>
          <c:order val="0"/>
          <c:spPr>
            <a:solidFill>
              <a:schemeClr val="accent1"/>
            </a:solidFill>
            <a:ln>
              <a:noFill/>
            </a:ln>
            <a:effectLst/>
          </c:spPr>
          <c:invertIfNegative val="0"/>
          <c:val>
            <c:numRef>
              <c:f>Rating!$B$8</c:f>
              <c:numCache>
                <c:formatCode>0.0</c:formatCode>
                <c:ptCount val="1"/>
                <c:pt idx="0">
                  <c:v>2.6530612244897958</c:v>
                </c:pt>
              </c:numCache>
            </c:numRef>
          </c:val>
          <c:extLst>
            <c:ext xmlns:c16="http://schemas.microsoft.com/office/drawing/2014/chart" uri="{C3380CC4-5D6E-409C-BE32-E72D297353CC}">
              <c16:uniqueId val="{00000000-E869-49E7-87CC-1073EF69D2B8}"/>
            </c:ext>
          </c:extLst>
        </c:ser>
        <c:ser>
          <c:idx val="1"/>
          <c:order val="1"/>
          <c:spPr>
            <a:solidFill>
              <a:schemeClr val="accent2"/>
            </a:solidFill>
            <a:ln>
              <a:noFill/>
            </a:ln>
            <a:effectLst/>
          </c:spPr>
          <c:invertIfNegative val="0"/>
          <c:val>
            <c:numRef>
              <c:f>Rating!$B$9</c:f>
              <c:numCache>
                <c:formatCode>0.0</c:formatCode>
                <c:ptCount val="1"/>
                <c:pt idx="0">
                  <c:v>1.3469387755102042</c:v>
                </c:pt>
              </c:numCache>
            </c:numRef>
          </c:val>
          <c:extLst>
            <c:ext xmlns:c16="http://schemas.microsoft.com/office/drawing/2014/chart" uri="{C3380CC4-5D6E-409C-BE32-E72D297353CC}">
              <c16:uniqueId val="{00000001-E869-49E7-87CC-1073EF69D2B8}"/>
            </c:ext>
          </c:extLst>
        </c:ser>
        <c:dLbls>
          <c:showLegendKey val="0"/>
          <c:showVal val="0"/>
          <c:showCatName val="0"/>
          <c:showSerName val="0"/>
          <c:showPercent val="0"/>
          <c:showBubbleSize val="0"/>
        </c:dLbls>
        <c:gapWidth val="182"/>
        <c:axId val="1910692911"/>
        <c:axId val="1910694831"/>
      </c:barChart>
      <c:catAx>
        <c:axId val="1910692911"/>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694831"/>
        <c:crosses val="autoZero"/>
        <c:auto val="1"/>
        <c:lblAlgn val="ctr"/>
        <c:lblOffset val="100"/>
        <c:noMultiLvlLbl val="0"/>
      </c:catAx>
      <c:valAx>
        <c:axId val="1910694831"/>
        <c:scaling>
          <c:orientation val="minMax"/>
          <c:max val="4"/>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69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44025396476989"/>
          <c:y val="0.1349514155639448"/>
          <c:w val="0.59532159170864096"/>
          <c:h val="0.73348978877139825"/>
        </c:manualLayout>
      </c:layout>
      <c:doughnutChart>
        <c:varyColors val="1"/>
        <c:ser>
          <c:idx val="0"/>
          <c:order val="0"/>
          <c:spPr>
            <a:ln>
              <a:noFill/>
            </a:ln>
          </c:spPr>
          <c:dPt>
            <c:idx val="0"/>
            <c:bubble3D val="0"/>
            <c:spPr>
              <a:gradFill>
                <a:gsLst>
                  <a:gs pos="0">
                    <a:srgbClr val="FCF5FD"/>
                  </a:gs>
                  <a:gs pos="74000">
                    <a:schemeClr val="accent1">
                      <a:lumMod val="45000"/>
                      <a:lumOff val="55000"/>
                    </a:schemeClr>
                  </a:gs>
                  <a:gs pos="53000">
                    <a:srgbClr val="CA0FD3"/>
                  </a:gs>
                  <a:gs pos="100000">
                    <a:schemeClr val="accent1">
                      <a:lumMod val="30000"/>
                      <a:lumOff val="70000"/>
                    </a:schemeClr>
                  </a:gs>
                </a:gsLst>
                <a:lin ang="10800000" scaled="0"/>
              </a:gradFill>
              <a:ln w="19050">
                <a:noFill/>
              </a:ln>
              <a:effectLst/>
            </c:spPr>
            <c:extLst>
              <c:ext xmlns:c16="http://schemas.microsoft.com/office/drawing/2014/chart" uri="{C3380CC4-5D6E-409C-BE32-E72D297353CC}">
                <c16:uniqueId val="{00000001-64F2-41BD-A2AF-D4DA339E4254}"/>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64F2-41BD-A2AF-D4DA339E4254}"/>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64F2-41BD-A2AF-D4DA339E425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534338592612482"/>
          <c:y val="0.15242708894498533"/>
          <c:w val="0.59532159170864096"/>
          <c:h val="0.73348978877139825"/>
        </c:manualLayout>
      </c:layout>
      <c:doughnutChart>
        <c:varyColors val="1"/>
        <c:ser>
          <c:idx val="0"/>
          <c:order val="0"/>
          <c:dPt>
            <c:idx val="0"/>
            <c:bubble3D val="0"/>
            <c:spPr>
              <a:solidFill>
                <a:schemeClr val="bg1"/>
              </a:solidFill>
              <a:ln w="19050">
                <a:solidFill>
                  <a:schemeClr val="lt1"/>
                </a:solidFill>
              </a:ln>
              <a:effectLst/>
            </c:spPr>
            <c:extLst>
              <c:ext xmlns:c16="http://schemas.microsoft.com/office/drawing/2014/chart" uri="{C3380CC4-5D6E-409C-BE32-E72D297353CC}">
                <c16:uniqueId val="{00000001-F034-439D-866C-D99032B2F0E4}"/>
              </c:ext>
            </c:extLst>
          </c:dPt>
          <c:dPt>
            <c:idx val="1"/>
            <c:bubble3D val="0"/>
            <c:spPr>
              <a:gradFill>
                <a:gsLst>
                  <a:gs pos="0">
                    <a:srgbClr val="FCF5FD"/>
                  </a:gs>
                  <a:gs pos="74000">
                    <a:schemeClr val="accent1">
                      <a:lumMod val="45000"/>
                      <a:lumOff val="55000"/>
                    </a:schemeClr>
                  </a:gs>
                  <a:gs pos="57000">
                    <a:srgbClr val="0CD6CC"/>
                  </a:gs>
                  <a:gs pos="100000">
                    <a:schemeClr val="accent1">
                      <a:lumMod val="30000"/>
                      <a:lumOff val="70000"/>
                    </a:schemeClr>
                  </a:gs>
                </a:gsLst>
                <a:lin ang="10800000" scaled="0"/>
              </a:gradFill>
              <a:ln w="19050">
                <a:solidFill>
                  <a:schemeClr val="lt1"/>
                </a:solidFill>
              </a:ln>
              <a:effectLst/>
            </c:spPr>
            <c:extLst>
              <c:ext xmlns:c16="http://schemas.microsoft.com/office/drawing/2014/chart" uri="{C3380CC4-5D6E-409C-BE32-E72D297353CC}">
                <c16:uniqueId val="{00000003-F034-439D-866C-D99032B2F0E4}"/>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F034-439D-866C-D99032B2F0E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5FBFD"/>
              </a:gs>
              <a:gs pos="74000">
                <a:schemeClr val="accent1">
                  <a:lumMod val="45000"/>
                  <a:lumOff val="55000"/>
                </a:schemeClr>
              </a:gs>
              <a:gs pos="57000">
                <a:srgbClr val="0CD6CC"/>
              </a:gs>
              <a:gs pos="100000">
                <a:schemeClr val="accent1">
                  <a:lumMod val="30000"/>
                  <a:lumOff val="70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34291264367711"/>
          <c:y val="0.14351851851851852"/>
          <c:w val="0.72486970371306214"/>
          <c:h val="0.59167468649752109"/>
        </c:manualLayout>
      </c:layout>
      <c:barChart>
        <c:barDir val="bar"/>
        <c:grouping val="clustered"/>
        <c:varyColors val="0"/>
        <c:ser>
          <c:idx val="0"/>
          <c:order val="0"/>
          <c:tx>
            <c:strRef>
              <c:f>Education!$B$3</c:f>
              <c:strCache>
                <c:ptCount val="1"/>
                <c:pt idx="0">
                  <c:v>Total</c:v>
                </c:pt>
              </c:strCache>
            </c:strRef>
          </c:tx>
          <c:spPr>
            <a:gradFill>
              <a:gsLst>
                <a:gs pos="0">
                  <a:srgbClr val="F5FBFD"/>
                </a:gs>
                <a:gs pos="74000">
                  <a:schemeClr val="accent1">
                    <a:lumMod val="45000"/>
                    <a:lumOff val="55000"/>
                  </a:schemeClr>
                </a:gs>
                <a:gs pos="57000">
                  <a:srgbClr val="0CD6CC"/>
                </a:gs>
                <a:gs pos="100000">
                  <a:schemeClr val="accent1">
                    <a:lumMod val="30000"/>
                    <a:lumOff val="70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0775-4C30-BD5D-BED1190A18CD}"/>
            </c:ext>
          </c:extLst>
        </c:ser>
        <c:dLbls>
          <c:dLblPos val="outEnd"/>
          <c:showLegendKey val="0"/>
          <c:showVal val="1"/>
          <c:showCatName val="0"/>
          <c:showSerName val="0"/>
          <c:showPercent val="0"/>
          <c:showBubbleSize val="0"/>
        </c:dLbls>
        <c:gapWidth val="77"/>
        <c:axId val="1897550447"/>
        <c:axId val="1897554767"/>
      </c:barChart>
      <c:catAx>
        <c:axId val="18975504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97554767"/>
        <c:crosses val="autoZero"/>
        <c:auto val="1"/>
        <c:lblAlgn val="ctr"/>
        <c:lblOffset val="100"/>
        <c:noMultiLvlLbl val="0"/>
      </c:catAx>
      <c:valAx>
        <c:axId val="18975547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55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of Attrition!PivotTable7</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'Dept of Attrition'!$B$3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8F6-45B0-AEA9-AEB698E1FE0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8F6-45B0-AEA9-AEB698E1FE0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8F6-45B0-AEA9-AEB698E1FE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'Dept of Attrition'!$A$4:$A$7</c:f>
              <c:strCache>
                <c:ptCount val="3"/>
                <c:pt idx="0">
                  <c:v>HR</c:v>
                </c:pt>
                <c:pt idx="1">
                  <c:v>R&amp;D</c:v>
                </c:pt>
                <c:pt idx="2">
                  <c:v>Sales</c:v>
                </c:pt>
              </c:strCache>
            </c:strRef>
          </c:cat>
          <c:val>
            <c:numRef>
              <c:f>'Dept of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58F6-45B0-AEA9-AEB698E1FE0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Group!PivotTable8</c:name>
    <c:fmtId val="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5FBFD"/>
              </a:gs>
              <a:gs pos="74000">
                <a:schemeClr val="accent1">
                  <a:lumMod val="45000"/>
                  <a:lumOff val="55000"/>
                </a:schemeClr>
              </a:gs>
              <a:gs pos="57000">
                <a:srgbClr val="0CD6CC"/>
              </a:gs>
              <a:gs pos="100000">
                <a:schemeClr val="accent1">
                  <a:lumMod val="30000"/>
                  <a:lumOff val="70000"/>
                </a:schemeClr>
              </a:gs>
            </a:gsLst>
            <a:lin ang="108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'Attrition by Age Group'!$B$3</c:f>
              <c:strCache>
                <c:ptCount val="1"/>
                <c:pt idx="0">
                  <c:v>Total</c:v>
                </c:pt>
              </c:strCache>
            </c:strRef>
          </c:tx>
          <c:spPr>
            <a:gradFill>
              <a:gsLst>
                <a:gs pos="0">
                  <a:srgbClr val="F5FBFD"/>
                </a:gs>
                <a:gs pos="74000">
                  <a:schemeClr val="accent1">
                    <a:lumMod val="45000"/>
                    <a:lumOff val="55000"/>
                  </a:schemeClr>
                </a:gs>
                <a:gs pos="57000">
                  <a:srgbClr val="0CD6CC"/>
                </a:gs>
                <a:gs pos="100000">
                  <a:schemeClr val="accent1">
                    <a:lumMod val="30000"/>
                    <a:lumOff val="70000"/>
                  </a:schemeClr>
                </a:gs>
              </a:gsLst>
              <a:lin ang="108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8629-47F1-9374-F88CF56B3559}"/>
            </c:ext>
          </c:extLst>
        </c:ser>
        <c:dLbls>
          <c:showLegendKey val="0"/>
          <c:showVal val="1"/>
          <c:showCatName val="0"/>
          <c:showSerName val="0"/>
          <c:showPercent val="0"/>
          <c:showBubbleSize val="0"/>
        </c:dLbls>
        <c:gapWidth val="136"/>
        <c:shape val="box"/>
        <c:axId val="1897506287"/>
        <c:axId val="1897502447"/>
        <c:axId val="0"/>
      </c:bar3DChart>
      <c:catAx>
        <c:axId val="18975062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502447"/>
        <c:crosses val="autoZero"/>
        <c:auto val="1"/>
        <c:lblAlgn val="ctr"/>
        <c:lblOffset val="100"/>
        <c:noMultiLvlLbl val="0"/>
      </c:catAx>
      <c:valAx>
        <c:axId val="18975024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50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4FCD9D6C-641A-4EA0-87A0-DEE11941C78E}">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63271133-58A3-4B3D-A0CB-15A20B308682}">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4FCD9D6C-641A-4EA0-87A0-DEE11941C78E}">
          <cx:dataLabels>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63271133-58A3-4B3D-A0CB-15A20B308682}">
          <cx:spPr>
            <a:ln>
              <a:solidFill>
                <a:srgbClr val="FFFF00"/>
              </a:solidFill>
            </a:ln>
          </cx:spPr>
          <cx:dataLabels>
            <cx:visibility seriesName="0" categoryName="0" value="1"/>
          </cx:dataLabels>
          <cx:dataId val="0"/>
        </cx:series>
      </cx:plotAreaRegion>
      <cx:axis id="0">
        <cx:catScaling gapWidth="0.0599999987"/>
        <cx:tickLabels/>
      </cx:axis>
    </cx:plotArea>
  </cx:chart>
  <cx:spPr>
    <a:gradFill>
      <a:gsLst>
        <a:gs pos="0">
          <a:schemeClr val="accent6">
            <a:lumMod val="60000"/>
            <a:lumOff val="40000"/>
          </a:schemeClr>
        </a:gs>
        <a:gs pos="74000">
          <a:schemeClr val="accent1">
            <a:lumMod val="45000"/>
            <a:lumOff val="55000"/>
          </a:schemeClr>
        </a:gs>
        <a:gs pos="57000">
          <a:srgbClr val="0CD6CC"/>
        </a:gs>
        <a:gs pos="100000">
          <a:schemeClr val="accent1">
            <a:lumMod val="30000"/>
            <a:lumOff val="70000"/>
          </a:schemeClr>
        </a:gs>
      </a:gsLst>
      <a:lin ang="10800000" scaled="0"/>
    </a:gra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chart" Target="../charts/chart7.xml"/><Relationship Id="rId13" Type="http://schemas.microsoft.com/office/2014/relationships/chartEx" Target="../charts/chartEx3.xml"/><Relationship Id="rId3" Type="http://schemas.openxmlformats.org/officeDocument/2006/relationships/image" Target="../media/image5.png"/><Relationship Id="rId7" Type="http://schemas.openxmlformats.org/officeDocument/2006/relationships/image" Target="../media/image7.png"/><Relationship Id="rId12" Type="http://schemas.openxmlformats.org/officeDocument/2006/relationships/chart" Target="../charts/chart11.xml"/><Relationship Id="rId2" Type="http://schemas.openxmlformats.org/officeDocument/2006/relationships/image" Target="../media/image2.png"/><Relationship Id="rId16"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3.png"/><Relationship Id="rId15" Type="http://schemas.openxmlformats.org/officeDocument/2006/relationships/chart" Target="../charts/chart13.xml"/><Relationship Id="rId10" Type="http://schemas.openxmlformats.org/officeDocument/2006/relationships/chart" Target="../charts/chart9.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2" Type="http://schemas.openxmlformats.org/officeDocument/2006/relationships/image" Target="../media/image9.svg"/><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sv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12</xdr:row>
      <xdr:rowOff>76201</xdr:rowOff>
    </xdr:from>
    <xdr:to>
      <xdr:col>0</xdr:col>
      <xdr:colOff>1828800</xdr:colOff>
      <xdr:row>17</xdr:row>
      <xdr:rowOff>175260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C8DD67E-4C7C-4AED-E4DD-E2B1EC42492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2453641"/>
              <a:ext cx="1828800" cy="1089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495300</xdr:colOff>
      <xdr:row>2</xdr:row>
      <xdr:rowOff>156210</xdr:rowOff>
    </xdr:from>
    <xdr:to>
      <xdr:col>7</xdr:col>
      <xdr:colOff>411480</xdr:colOff>
      <xdr:row>7</xdr:row>
      <xdr:rowOff>68580</xdr:rowOff>
    </xdr:to>
    <xdr:graphicFrame macro="">
      <xdr:nvGraphicFramePr>
        <xdr:cNvPr id="2" name="Chart 1">
          <a:extLst>
            <a:ext uri="{FF2B5EF4-FFF2-40B4-BE49-F238E27FC236}">
              <a16:creationId xmlns:a16="http://schemas.microsoft.com/office/drawing/2014/main" id="{4B6B94B6-C73B-4D5D-46BD-2429B67ED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609600</xdr:colOff>
      <xdr:row>0</xdr:row>
      <xdr:rowOff>76201</xdr:rowOff>
    </xdr:from>
    <xdr:to>
      <xdr:col>2</xdr:col>
      <xdr:colOff>1767840</xdr:colOff>
      <xdr:row>5</xdr:row>
      <xdr:rowOff>144780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139F218A-9B5A-A772-F97E-5A1B5E8F3E9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407920" y="76201"/>
              <a:ext cx="1828800" cy="1059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1474470</xdr:colOff>
      <xdr:row>14</xdr:row>
      <xdr:rowOff>53340</xdr:rowOff>
    </xdr:from>
    <xdr:to>
      <xdr:col>2</xdr:col>
      <xdr:colOff>1211580</xdr:colOff>
      <xdr:row>20</xdr:row>
      <xdr:rowOff>137160</xdr:rowOff>
    </xdr:to>
    <xdr:graphicFrame macro="">
      <xdr:nvGraphicFramePr>
        <xdr:cNvPr id="4" name="Chart 3">
          <a:extLst>
            <a:ext uri="{FF2B5EF4-FFF2-40B4-BE49-F238E27FC236}">
              <a16:creationId xmlns:a16="http://schemas.microsoft.com/office/drawing/2014/main" id="{8C293BB6-2DFE-BB93-5BA8-26280F1E84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350520</xdr:colOff>
      <xdr:row>11</xdr:row>
      <xdr:rowOff>175261</xdr:rowOff>
    </xdr:from>
    <xdr:to>
      <xdr:col>6</xdr:col>
      <xdr:colOff>167640</xdr:colOff>
      <xdr:row>22</xdr:row>
      <xdr:rowOff>144781</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C503DBAE-DA50-B431-92DE-9563C0C8689A}"/>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4625340" y="2354581"/>
              <a:ext cx="1828800" cy="2148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365760</xdr:colOff>
      <xdr:row>5</xdr:row>
      <xdr:rowOff>121921</xdr:rowOff>
    </xdr:from>
    <xdr:to>
      <xdr:col>13</xdr:col>
      <xdr:colOff>182880</xdr:colOff>
      <xdr:row>16</xdr:row>
      <xdr:rowOff>91441</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6616A13C-A6F1-6C12-6C06-8B0EFD3FD76B}"/>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8397240" y="1112521"/>
              <a:ext cx="1828800" cy="2148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68580</xdr:colOff>
      <xdr:row>7</xdr:row>
      <xdr:rowOff>91441</xdr:rowOff>
    </xdr:from>
    <xdr:to>
      <xdr:col>9</xdr:col>
      <xdr:colOff>556260</xdr:colOff>
      <xdr:row>12</xdr:row>
      <xdr:rowOff>175261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C8161DB9-23C8-DD15-8341-BE98AAABE72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088380" y="1478281"/>
              <a:ext cx="1828800" cy="1074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670560</xdr:colOff>
      <xdr:row>15</xdr:row>
      <xdr:rowOff>114300</xdr:rowOff>
    </xdr:from>
    <xdr:to>
      <xdr:col>3</xdr:col>
      <xdr:colOff>205740</xdr:colOff>
      <xdr:row>23</xdr:row>
      <xdr:rowOff>144780</xdr:rowOff>
    </xdr:to>
    <xdr:graphicFrame macro="">
      <xdr:nvGraphicFramePr>
        <xdr:cNvPr id="5" name="Chart 4">
          <a:extLst>
            <a:ext uri="{FF2B5EF4-FFF2-40B4-BE49-F238E27FC236}">
              <a16:creationId xmlns:a16="http://schemas.microsoft.com/office/drawing/2014/main" id="{2E982131-CC55-62CB-84D0-F64D848CE2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609600</xdr:colOff>
      <xdr:row>5</xdr:row>
      <xdr:rowOff>76200</xdr:rowOff>
    </xdr:from>
    <xdr:to>
      <xdr:col>9</xdr:col>
      <xdr:colOff>129540</xdr:colOff>
      <xdr:row>16</xdr:row>
      <xdr:rowOff>190500</xdr:rowOff>
    </xdr:to>
    <xdr:graphicFrame macro="">
      <xdr:nvGraphicFramePr>
        <xdr:cNvPr id="2" name="Chart 1">
          <a:extLst>
            <a:ext uri="{FF2B5EF4-FFF2-40B4-BE49-F238E27FC236}">
              <a16:creationId xmlns:a16="http://schemas.microsoft.com/office/drawing/2014/main" id="{C2EE9C2C-6E7A-8AB4-2388-114143C756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312420</xdr:colOff>
      <xdr:row>3</xdr:row>
      <xdr:rowOff>163830</xdr:rowOff>
    </xdr:from>
    <xdr:to>
      <xdr:col>13</xdr:col>
      <xdr:colOff>293370</xdr:colOff>
      <xdr:row>16</xdr:row>
      <xdr:rowOff>121920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1B0D002-1E7D-A4C9-9442-264630B355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382000" y="758190"/>
              <a:ext cx="4004310" cy="25336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167640</xdr:colOff>
      <xdr:row>7</xdr:row>
      <xdr:rowOff>76200</xdr:rowOff>
    </xdr:from>
    <xdr:to>
      <xdr:col>8</xdr:col>
      <xdr:colOff>426720</xdr:colOff>
      <xdr:row>18</xdr:row>
      <xdr:rowOff>125730</xdr:rowOff>
    </xdr:to>
    <xdr:graphicFrame macro="">
      <xdr:nvGraphicFramePr>
        <xdr:cNvPr id="2" name="Chart 1">
          <a:extLst>
            <a:ext uri="{FF2B5EF4-FFF2-40B4-BE49-F238E27FC236}">
              <a16:creationId xmlns:a16="http://schemas.microsoft.com/office/drawing/2014/main" id="{6B6027E9-2B6B-7F07-3438-AF3549142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373380</xdr:colOff>
      <xdr:row>5</xdr:row>
      <xdr:rowOff>160020</xdr:rowOff>
    </xdr:from>
    <xdr:to>
      <xdr:col>9</xdr:col>
      <xdr:colOff>0</xdr:colOff>
      <xdr:row>16</xdr:row>
      <xdr:rowOff>30480</xdr:rowOff>
    </xdr:to>
    <xdr:graphicFrame macro="">
      <xdr:nvGraphicFramePr>
        <xdr:cNvPr id="2" name="Chart 1">
          <a:extLst>
            <a:ext uri="{FF2B5EF4-FFF2-40B4-BE49-F238E27FC236}">
              <a16:creationId xmlns:a16="http://schemas.microsoft.com/office/drawing/2014/main" id="{16C86FE2-8D05-991A-39D3-DBE280C589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434340</xdr:colOff>
      <xdr:row>3</xdr:row>
      <xdr:rowOff>137161</xdr:rowOff>
    </xdr:from>
    <xdr:to>
      <xdr:col>16</xdr:col>
      <xdr:colOff>7620</xdr:colOff>
      <xdr:row>9</xdr:row>
      <xdr:rowOff>137161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558A3280-CEAC-C069-BBFE-A0E450DCE64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477500" y="731521"/>
              <a:ext cx="158496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312420</xdr:colOff>
      <xdr:row>5</xdr:row>
      <xdr:rowOff>114301</xdr:rowOff>
    </xdr:from>
    <xdr:to>
      <xdr:col>12</xdr:col>
      <xdr:colOff>647700</xdr:colOff>
      <xdr:row>15</xdr:row>
      <xdr:rowOff>144781</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92F4BD95-ABFE-70B7-ACD9-18DE6C89F6E2}"/>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8343900" y="1104901"/>
              <a:ext cx="1676400" cy="2011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7620</xdr:colOff>
      <xdr:row>8</xdr:row>
      <xdr:rowOff>114300</xdr:rowOff>
    </xdr:from>
    <xdr:to>
      <xdr:col>11</xdr:col>
      <xdr:colOff>266700</xdr:colOff>
      <xdr:row>21</xdr:row>
      <xdr:rowOff>26670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AD63F6FD-264F-7E0B-F094-7106106010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20640" y="1699260"/>
              <a:ext cx="3611880" cy="24879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229803</xdr:colOff>
      <xdr:row>0</xdr:row>
      <xdr:rowOff>111987</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50603" y="111987"/>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twoCellAnchor>
    <xdr:from>
      <xdr:col>2</xdr:col>
      <xdr:colOff>359595</xdr:colOff>
      <xdr:row>6</xdr:row>
      <xdr:rowOff>7544</xdr:rowOff>
    </xdr:from>
    <xdr:to>
      <xdr:col>6</xdr:col>
      <xdr:colOff>479460</xdr:colOff>
      <xdr:row>8</xdr:row>
      <xdr:rowOff>94180</xdr:rowOff>
    </xdr:to>
    <xdr:sp macro="" textlink="">
      <xdr:nvSpPr>
        <xdr:cNvPr id="6" name="TextBox 5">
          <a:extLst>
            <a:ext uri="{FF2B5EF4-FFF2-40B4-BE49-F238E27FC236}">
              <a16:creationId xmlns:a16="http://schemas.microsoft.com/office/drawing/2014/main" id="{4C3F7722-6FFF-5266-2F57-C49AD904902D}"/>
            </a:ext>
          </a:extLst>
        </xdr:cNvPr>
        <xdr:cNvSpPr txBox="1"/>
      </xdr:nvSpPr>
      <xdr:spPr>
        <a:xfrm>
          <a:off x="1678112" y="1137701"/>
          <a:ext cx="2756899" cy="4633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lgn="l"/>
          <a:r>
            <a:rPr lang="en-IN" sz="1800" b="1" i="0" u="none" strike="noStrike">
              <a:solidFill>
                <a:schemeClr val="accent2">
                  <a:lumMod val="50000"/>
                </a:schemeClr>
              </a:solidFill>
              <a:effectLst/>
              <a:latin typeface="+mn-lt"/>
              <a:ea typeface="+mn-ea"/>
              <a:cs typeface="+mn-cs"/>
            </a:rPr>
            <a:t>Total Employee</a:t>
          </a:r>
          <a:r>
            <a:rPr lang="en-IN" sz="1800" b="1">
              <a:solidFill>
                <a:schemeClr val="accent2">
                  <a:lumMod val="50000"/>
                </a:schemeClr>
              </a:solidFill>
              <a:effectLst/>
            </a:rPr>
            <a:t> </a:t>
          </a:r>
        </a:p>
        <a:p>
          <a:pPr algn="ctr"/>
          <a:endParaRPr lang="en-IN" sz="1600" b="1">
            <a:solidFill>
              <a:schemeClr val="accent2">
                <a:lumMod val="50000"/>
              </a:schemeClr>
            </a:solidFill>
          </a:endParaRPr>
        </a:p>
      </xdr:txBody>
    </xdr:sp>
    <xdr:clientData/>
  </xdr:twoCellAnchor>
  <xdr:twoCellAnchor>
    <xdr:from>
      <xdr:col>3</xdr:col>
      <xdr:colOff>387739</xdr:colOff>
      <xdr:row>8</xdr:row>
      <xdr:rowOff>95621</xdr:rowOff>
    </xdr:from>
    <xdr:to>
      <xdr:col>5</xdr:col>
      <xdr:colOff>372650</xdr:colOff>
      <xdr:row>10</xdr:row>
      <xdr:rowOff>125798</xdr:rowOff>
    </xdr:to>
    <xdr:sp macro="" textlink="KPI!A9">
      <xdr:nvSpPr>
        <xdr:cNvPr id="7" name="TextBox 6">
          <a:extLst>
            <a:ext uri="{FF2B5EF4-FFF2-40B4-BE49-F238E27FC236}">
              <a16:creationId xmlns:a16="http://schemas.microsoft.com/office/drawing/2014/main" id="{A0351566-3E3D-7FCB-B199-81C9AC9F56A9}"/>
            </a:ext>
          </a:extLst>
        </xdr:cNvPr>
        <xdr:cNvSpPr txBox="1"/>
      </xdr:nvSpPr>
      <xdr:spPr>
        <a:xfrm>
          <a:off x="2365514" y="1602497"/>
          <a:ext cx="1303428" cy="406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0" i="0" u="none" strike="noStrike">
              <a:solidFill>
                <a:srgbClr val="21087C"/>
              </a:solidFill>
              <a:latin typeface="+mj-lt"/>
              <a:ea typeface="Calibri"/>
              <a:cs typeface="Calibri"/>
            </a:rPr>
            <a:t>      </a:t>
          </a:r>
          <a:fld id="{5F0AD7E9-1C29-46B1-9D03-7C68C9BFDC2A}" type="TxLink">
            <a:rPr lang="en-US" sz="2000" b="0" i="0" u="none" strike="noStrike">
              <a:solidFill>
                <a:srgbClr val="21087C"/>
              </a:solidFill>
              <a:latin typeface="+mj-lt"/>
              <a:ea typeface="Calibri"/>
              <a:cs typeface="Calibri"/>
            </a:rPr>
            <a:pPr algn="l"/>
            <a:t>1470</a:t>
          </a:fld>
          <a:endParaRPr lang="en-US" sz="2000" b="0" i="0" u="none" strike="noStrike">
            <a:solidFill>
              <a:srgbClr val="21087C"/>
            </a:solidFill>
            <a:latin typeface="+mj-lt"/>
            <a:ea typeface="Calibri"/>
            <a:cs typeface="Calibri"/>
          </a:endParaRPr>
        </a:p>
        <a:p>
          <a:pPr algn="l"/>
          <a:endParaRPr lang="en-IN" sz="2000">
            <a:solidFill>
              <a:srgbClr val="21087C"/>
            </a:solidFill>
            <a:latin typeface="+mj-lt"/>
          </a:endParaRPr>
        </a:p>
      </xdr:txBody>
    </xdr:sp>
    <xdr:clientData/>
  </xdr:twoCellAnchor>
  <xdr:twoCellAnchor>
    <xdr:from>
      <xdr:col>7</xdr:col>
      <xdr:colOff>119864</xdr:colOff>
      <xdr:row>6</xdr:row>
      <xdr:rowOff>0</xdr:rowOff>
    </xdr:from>
    <xdr:to>
      <xdr:col>10</xdr:col>
      <xdr:colOff>650696</xdr:colOff>
      <xdr:row>8</xdr:row>
      <xdr:rowOff>25686</xdr:rowOff>
    </xdr:to>
    <xdr:sp macro="" textlink="">
      <xdr:nvSpPr>
        <xdr:cNvPr id="8" name="TextBox 7">
          <a:extLst>
            <a:ext uri="{FF2B5EF4-FFF2-40B4-BE49-F238E27FC236}">
              <a16:creationId xmlns:a16="http://schemas.microsoft.com/office/drawing/2014/main" id="{623FB1AB-A0F4-8EA9-DC6E-4E92138BF121}"/>
            </a:ext>
          </a:extLst>
        </xdr:cNvPr>
        <xdr:cNvSpPr txBox="1"/>
      </xdr:nvSpPr>
      <xdr:spPr>
        <a:xfrm>
          <a:off x="4734673" y="1130157"/>
          <a:ext cx="2508607" cy="4024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a:solidFill>
                <a:schemeClr val="accent5">
                  <a:lumMod val="50000"/>
                </a:schemeClr>
              </a:solidFill>
              <a:effectLst/>
              <a:latin typeface="+mn-lt"/>
              <a:ea typeface="+mn-ea"/>
              <a:cs typeface="+mn-cs"/>
            </a:rPr>
            <a:t>Attrition count</a:t>
          </a:r>
          <a:r>
            <a:rPr lang="en-IN" sz="1800" b="1">
              <a:solidFill>
                <a:schemeClr val="accent5">
                  <a:lumMod val="50000"/>
                </a:schemeClr>
              </a:solidFill>
              <a:effectLst/>
            </a:rPr>
            <a:t> </a:t>
          </a:r>
          <a:endParaRPr lang="en-IN" sz="1800" b="1">
            <a:solidFill>
              <a:schemeClr val="accent5">
                <a:lumMod val="50000"/>
              </a:schemeClr>
            </a:solidFill>
          </a:endParaRPr>
        </a:p>
      </xdr:txBody>
    </xdr:sp>
    <xdr:clientData/>
  </xdr:twoCellAnchor>
  <xdr:twoCellAnchor>
    <xdr:from>
      <xdr:col>7</xdr:col>
      <xdr:colOff>625010</xdr:colOff>
      <xdr:row>8</xdr:row>
      <xdr:rowOff>51371</xdr:rowOff>
    </xdr:from>
    <xdr:to>
      <xdr:col>10</xdr:col>
      <xdr:colOff>256853</xdr:colOff>
      <xdr:row>10</xdr:row>
      <xdr:rowOff>68493</xdr:rowOff>
    </xdr:to>
    <xdr:sp macro="" textlink="KPI!B9">
      <xdr:nvSpPr>
        <xdr:cNvPr id="9" name="TextBox 8">
          <a:extLst>
            <a:ext uri="{FF2B5EF4-FFF2-40B4-BE49-F238E27FC236}">
              <a16:creationId xmlns:a16="http://schemas.microsoft.com/office/drawing/2014/main" id="{CF035422-9CE9-0947-06F9-3B9218043480}"/>
            </a:ext>
          </a:extLst>
        </xdr:cNvPr>
        <xdr:cNvSpPr txBox="1"/>
      </xdr:nvSpPr>
      <xdr:spPr>
        <a:xfrm>
          <a:off x="5239819" y="1558247"/>
          <a:ext cx="1609618" cy="393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BB8357-C4E3-411B-AFB2-FE5ADABC573B}" type="TxLink">
            <a:rPr lang="en-US" sz="2400" b="0" i="0" u="none" strike="noStrike">
              <a:solidFill>
                <a:srgbClr val="00B0F0"/>
              </a:solidFill>
              <a:latin typeface="Calibri"/>
              <a:ea typeface="Calibri"/>
              <a:cs typeface="Calibri"/>
            </a:rPr>
            <a:pPr algn="ctr"/>
            <a:t>237</a:t>
          </a:fld>
          <a:endParaRPr lang="en-IN" sz="2400">
            <a:solidFill>
              <a:srgbClr val="00B0F0"/>
            </a:solidFill>
          </a:endParaRPr>
        </a:p>
      </xdr:txBody>
    </xdr:sp>
    <xdr:clientData/>
  </xdr:twoCellAnchor>
  <xdr:twoCellAnchor>
    <xdr:from>
      <xdr:col>11</xdr:col>
      <xdr:colOff>462337</xdr:colOff>
      <xdr:row>6</xdr:row>
      <xdr:rowOff>1</xdr:rowOff>
    </xdr:from>
    <xdr:to>
      <xdr:col>15</xdr:col>
      <xdr:colOff>273978</xdr:colOff>
      <xdr:row>8</xdr:row>
      <xdr:rowOff>42810</xdr:rowOff>
    </xdr:to>
    <xdr:sp macro="" textlink="">
      <xdr:nvSpPr>
        <xdr:cNvPr id="10" name="TextBox 9">
          <a:extLst>
            <a:ext uri="{FF2B5EF4-FFF2-40B4-BE49-F238E27FC236}">
              <a16:creationId xmlns:a16="http://schemas.microsoft.com/office/drawing/2014/main" id="{01D486ED-1E46-0B58-9EEF-DF603E830F70}"/>
            </a:ext>
          </a:extLst>
        </xdr:cNvPr>
        <xdr:cNvSpPr txBox="1"/>
      </xdr:nvSpPr>
      <xdr:spPr>
        <a:xfrm>
          <a:off x="7714180" y="1130158"/>
          <a:ext cx="2448674" cy="4195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a:solidFill>
                <a:schemeClr val="dk1"/>
              </a:solidFill>
              <a:effectLst/>
              <a:latin typeface="+mn-lt"/>
              <a:ea typeface="+mn-ea"/>
              <a:cs typeface="+mn-cs"/>
            </a:rPr>
            <a:t>Average Age</a:t>
          </a:r>
          <a:r>
            <a:rPr lang="en-IN" sz="1800" b="1">
              <a:effectLst/>
            </a:rPr>
            <a:t> </a:t>
          </a:r>
          <a:endParaRPr lang="en-IN" sz="1800" b="1"/>
        </a:p>
      </xdr:txBody>
    </xdr:sp>
    <xdr:clientData/>
  </xdr:twoCellAnchor>
  <xdr:twoCellAnchor>
    <xdr:from>
      <xdr:col>12</xdr:col>
      <xdr:colOff>419528</xdr:colOff>
      <xdr:row>8</xdr:row>
      <xdr:rowOff>25685</xdr:rowOff>
    </xdr:from>
    <xdr:to>
      <xdr:col>14</xdr:col>
      <xdr:colOff>522270</xdr:colOff>
      <xdr:row>10</xdr:row>
      <xdr:rowOff>68493</xdr:rowOff>
    </xdr:to>
    <xdr:sp macro="" textlink="KPI!C9">
      <xdr:nvSpPr>
        <xdr:cNvPr id="11" name="TextBox 10">
          <a:extLst>
            <a:ext uri="{FF2B5EF4-FFF2-40B4-BE49-F238E27FC236}">
              <a16:creationId xmlns:a16="http://schemas.microsoft.com/office/drawing/2014/main" id="{325B2AF2-EFE7-9793-F5E8-FD8996E3A97E}"/>
            </a:ext>
          </a:extLst>
        </xdr:cNvPr>
        <xdr:cNvSpPr txBox="1"/>
      </xdr:nvSpPr>
      <xdr:spPr>
        <a:xfrm>
          <a:off x="8330629" y="1532561"/>
          <a:ext cx="1421259" cy="419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72941CA-F907-4B8F-9539-FBF6C56ECE87}" type="TxLink">
            <a:rPr lang="en-US" sz="2400" b="0" i="0" u="none" strike="noStrike">
              <a:solidFill>
                <a:srgbClr val="FF0066"/>
              </a:solidFill>
              <a:latin typeface="Calibri"/>
              <a:ea typeface="Calibri"/>
              <a:cs typeface="Calibri"/>
            </a:rPr>
            <a:pPr algn="ctr"/>
            <a:t>37</a:t>
          </a:fld>
          <a:endParaRPr lang="en-IN" sz="2400">
            <a:solidFill>
              <a:srgbClr val="FF0066"/>
            </a:solidFill>
          </a:endParaRPr>
        </a:p>
      </xdr:txBody>
    </xdr:sp>
    <xdr:clientData/>
  </xdr:twoCellAnchor>
  <xdr:twoCellAnchor>
    <xdr:from>
      <xdr:col>15</xdr:col>
      <xdr:colOff>599326</xdr:colOff>
      <xdr:row>5</xdr:row>
      <xdr:rowOff>179797</xdr:rowOff>
    </xdr:from>
    <xdr:to>
      <xdr:col>20</xdr:col>
      <xdr:colOff>59932</xdr:colOff>
      <xdr:row>8</xdr:row>
      <xdr:rowOff>128427</xdr:rowOff>
    </xdr:to>
    <xdr:sp macro="" textlink="">
      <xdr:nvSpPr>
        <xdr:cNvPr id="12" name="TextBox 11">
          <a:extLst>
            <a:ext uri="{FF2B5EF4-FFF2-40B4-BE49-F238E27FC236}">
              <a16:creationId xmlns:a16="http://schemas.microsoft.com/office/drawing/2014/main" id="{A37C50A6-B6CD-1420-58A8-4813CC32866B}"/>
            </a:ext>
          </a:extLst>
        </xdr:cNvPr>
        <xdr:cNvSpPr txBox="1"/>
      </xdr:nvSpPr>
      <xdr:spPr>
        <a:xfrm>
          <a:off x="10488202" y="1121595"/>
          <a:ext cx="2756899" cy="5137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2000" b="1" i="0" u="none" strike="noStrike">
              <a:solidFill>
                <a:srgbClr val="FF0000"/>
              </a:solidFill>
              <a:effectLst/>
              <a:latin typeface="+mn-lt"/>
              <a:ea typeface="+mn-ea"/>
              <a:cs typeface="+mn-cs"/>
            </a:rPr>
            <a:t>Active Employees</a:t>
          </a:r>
          <a:r>
            <a:rPr lang="en-IN" sz="2000" b="1">
              <a:solidFill>
                <a:srgbClr val="FF0000"/>
              </a:solidFill>
              <a:effectLst/>
            </a:rPr>
            <a:t> </a:t>
          </a:r>
          <a:endParaRPr lang="en-IN" sz="2000" b="1">
            <a:solidFill>
              <a:srgbClr val="FF0000"/>
            </a:solidFill>
          </a:endParaRPr>
        </a:p>
      </xdr:txBody>
    </xdr:sp>
    <xdr:clientData/>
  </xdr:twoCellAnchor>
  <xdr:twoCellAnchor>
    <xdr:from>
      <xdr:col>16</xdr:col>
      <xdr:colOff>599325</xdr:colOff>
      <xdr:row>8</xdr:row>
      <xdr:rowOff>111304</xdr:rowOff>
    </xdr:from>
    <xdr:to>
      <xdr:col>19</xdr:col>
      <xdr:colOff>299662</xdr:colOff>
      <xdr:row>10</xdr:row>
      <xdr:rowOff>111303</xdr:rowOff>
    </xdr:to>
    <xdr:sp macro="" textlink="KPI!D9">
      <xdr:nvSpPr>
        <xdr:cNvPr id="14" name="TextBox 13">
          <a:extLst>
            <a:ext uri="{FF2B5EF4-FFF2-40B4-BE49-F238E27FC236}">
              <a16:creationId xmlns:a16="http://schemas.microsoft.com/office/drawing/2014/main" id="{638A7F59-16C9-3C57-7B45-664FEB833670}"/>
            </a:ext>
          </a:extLst>
        </xdr:cNvPr>
        <xdr:cNvSpPr txBox="1"/>
      </xdr:nvSpPr>
      <xdr:spPr>
        <a:xfrm>
          <a:off x="11147460" y="1618180"/>
          <a:ext cx="1678112" cy="376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793823C-7689-477B-9399-316A1F2C81D6}" type="TxLink">
            <a:rPr lang="en-US" sz="2000" b="0" i="0" u="none" strike="noStrike">
              <a:solidFill>
                <a:srgbClr val="00B050"/>
              </a:solidFill>
              <a:latin typeface="Calibri"/>
              <a:ea typeface="Calibri"/>
              <a:cs typeface="Calibri"/>
            </a:rPr>
            <a:pPr algn="ctr"/>
            <a:t>1233</a:t>
          </a:fld>
          <a:endParaRPr lang="en-IN" sz="2000">
            <a:solidFill>
              <a:srgbClr val="00B050"/>
            </a:solidFill>
          </a:endParaRPr>
        </a:p>
      </xdr:txBody>
    </xdr:sp>
    <xdr:clientData/>
  </xdr:twoCellAnchor>
  <xdr:twoCellAnchor>
    <xdr:from>
      <xdr:col>20</xdr:col>
      <xdr:colOff>385281</xdr:colOff>
      <xdr:row>6</xdr:row>
      <xdr:rowOff>34248</xdr:rowOff>
    </xdr:from>
    <xdr:to>
      <xdr:col>24</xdr:col>
      <xdr:colOff>248292</xdr:colOff>
      <xdr:row>8</xdr:row>
      <xdr:rowOff>51371</xdr:rowOff>
    </xdr:to>
    <xdr:sp macro="" textlink="">
      <xdr:nvSpPr>
        <xdr:cNvPr id="15" name="TextBox 14">
          <a:extLst>
            <a:ext uri="{FF2B5EF4-FFF2-40B4-BE49-F238E27FC236}">
              <a16:creationId xmlns:a16="http://schemas.microsoft.com/office/drawing/2014/main" id="{32432351-F3B0-B268-69E4-95D06802BA2E}"/>
            </a:ext>
          </a:extLst>
        </xdr:cNvPr>
        <xdr:cNvSpPr txBox="1"/>
      </xdr:nvSpPr>
      <xdr:spPr>
        <a:xfrm>
          <a:off x="13570450" y="1164405"/>
          <a:ext cx="2500044" cy="3938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rgbClr val="990099"/>
              </a:solidFill>
              <a:effectLst/>
              <a:latin typeface="+mn-lt"/>
              <a:ea typeface="+mn-ea"/>
              <a:cs typeface="+mn-cs"/>
            </a:rPr>
            <a:t>Attrition Rate</a:t>
          </a:r>
          <a:r>
            <a:rPr lang="en-IN" sz="2000" b="1">
              <a:solidFill>
                <a:srgbClr val="990099"/>
              </a:solidFill>
              <a:effectLst/>
            </a:rPr>
            <a:t> </a:t>
          </a:r>
          <a:endParaRPr lang="en-IN" sz="2000" b="1">
            <a:solidFill>
              <a:srgbClr val="990099"/>
            </a:solidFill>
          </a:endParaRPr>
        </a:p>
      </xdr:txBody>
    </xdr:sp>
    <xdr:clientData/>
  </xdr:twoCellAnchor>
  <xdr:twoCellAnchor>
    <xdr:from>
      <xdr:col>21</xdr:col>
      <xdr:colOff>316787</xdr:colOff>
      <xdr:row>8</xdr:row>
      <xdr:rowOff>42809</xdr:rowOff>
    </xdr:from>
    <xdr:to>
      <xdr:col>23</xdr:col>
      <xdr:colOff>565079</xdr:colOff>
      <xdr:row>10</xdr:row>
      <xdr:rowOff>8561</xdr:rowOff>
    </xdr:to>
    <xdr:sp macro="" textlink="KPI!E9">
      <xdr:nvSpPr>
        <xdr:cNvPr id="16" name="TextBox 15">
          <a:extLst>
            <a:ext uri="{FF2B5EF4-FFF2-40B4-BE49-F238E27FC236}">
              <a16:creationId xmlns:a16="http://schemas.microsoft.com/office/drawing/2014/main" id="{78ADAE39-CD5F-4857-549E-3BAC46EC28E8}"/>
            </a:ext>
          </a:extLst>
        </xdr:cNvPr>
        <xdr:cNvSpPr txBox="1"/>
      </xdr:nvSpPr>
      <xdr:spPr>
        <a:xfrm>
          <a:off x="14161214" y="1549685"/>
          <a:ext cx="1566809" cy="342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9575CD1-073A-4F3B-9F65-E10AAE4088A1}" type="TxLink">
            <a:rPr lang="en-US" sz="2000" b="1" i="0" u="none" strike="noStrike">
              <a:solidFill>
                <a:srgbClr val="808000"/>
              </a:solidFill>
              <a:latin typeface="Calibri"/>
              <a:ea typeface="Calibri"/>
              <a:cs typeface="Calibri"/>
            </a:rPr>
            <a:pPr algn="ctr"/>
            <a:t>16.12%</a:t>
          </a:fld>
          <a:endParaRPr lang="en-IN" sz="2000" b="1">
            <a:solidFill>
              <a:srgbClr val="808000"/>
            </a:solidFill>
          </a:endParaRPr>
        </a:p>
      </xdr:txBody>
    </xdr:sp>
    <xdr:clientData/>
  </xdr:twoCellAnchor>
  <xdr:oneCellAnchor>
    <xdr:from>
      <xdr:col>6</xdr:col>
      <xdr:colOff>8560</xdr:colOff>
      <xdr:row>6</xdr:row>
      <xdr:rowOff>52054</xdr:rowOff>
    </xdr:from>
    <xdr:ext cx="410967" cy="367474"/>
    <xdr:pic>
      <xdr:nvPicPr>
        <xdr:cNvPr id="17" name="image4.png">
          <a:extLst>
            <a:ext uri="{FF2B5EF4-FFF2-40B4-BE49-F238E27FC236}">
              <a16:creationId xmlns:a16="http://schemas.microsoft.com/office/drawing/2014/main" id="{52AF0271-4698-44F4-BEC1-713EE9393A34}"/>
            </a:ext>
          </a:extLst>
        </xdr:cNvPr>
        <xdr:cNvPicPr preferRelativeResize="0"/>
      </xdr:nvPicPr>
      <xdr:blipFill>
        <a:blip xmlns:r="http://schemas.openxmlformats.org/officeDocument/2006/relationships" r:embed="rId1" cstate="print"/>
        <a:stretch>
          <a:fillRect/>
        </a:stretch>
      </xdr:blipFill>
      <xdr:spPr>
        <a:xfrm>
          <a:off x="3964111" y="1182211"/>
          <a:ext cx="410967" cy="367474"/>
        </a:xfrm>
        <a:prstGeom prst="rect">
          <a:avLst/>
        </a:prstGeom>
        <a:noFill/>
      </xdr:spPr>
    </xdr:pic>
    <xdr:clientData fLocksWithSheet="0"/>
  </xdr:oneCellAnchor>
  <xdr:oneCellAnchor>
    <xdr:from>
      <xdr:col>19</xdr:col>
      <xdr:colOff>315422</xdr:colOff>
      <xdr:row>6</xdr:row>
      <xdr:rowOff>60616</xdr:rowOff>
    </xdr:from>
    <xdr:ext cx="419100" cy="304800"/>
    <xdr:pic>
      <xdr:nvPicPr>
        <xdr:cNvPr id="18" name="image5.png">
          <a:extLst>
            <a:ext uri="{FF2B5EF4-FFF2-40B4-BE49-F238E27FC236}">
              <a16:creationId xmlns:a16="http://schemas.microsoft.com/office/drawing/2014/main" id="{9C2F49D6-E619-4EBC-BFD5-03C96F7CAEBA}"/>
            </a:ext>
          </a:extLst>
        </xdr:cNvPr>
        <xdr:cNvPicPr preferRelativeResize="0"/>
      </xdr:nvPicPr>
      <xdr:blipFill>
        <a:blip xmlns:r="http://schemas.openxmlformats.org/officeDocument/2006/relationships" r:embed="rId2" cstate="print"/>
        <a:stretch>
          <a:fillRect/>
        </a:stretch>
      </xdr:blipFill>
      <xdr:spPr>
        <a:xfrm>
          <a:off x="12841332" y="1190773"/>
          <a:ext cx="419100" cy="304800"/>
        </a:xfrm>
        <a:prstGeom prst="rect">
          <a:avLst/>
        </a:prstGeom>
        <a:noFill/>
      </xdr:spPr>
    </xdr:pic>
    <xdr:clientData fLocksWithSheet="0"/>
  </xdr:oneCellAnchor>
  <xdr:oneCellAnchor>
    <xdr:from>
      <xdr:col>10</xdr:col>
      <xdr:colOff>169870</xdr:colOff>
      <xdr:row>6</xdr:row>
      <xdr:rowOff>9245</xdr:rowOff>
    </xdr:from>
    <xdr:ext cx="485775" cy="384598"/>
    <xdr:pic>
      <xdr:nvPicPr>
        <xdr:cNvPr id="19" name="image7.png">
          <a:extLst>
            <a:ext uri="{FF2B5EF4-FFF2-40B4-BE49-F238E27FC236}">
              <a16:creationId xmlns:a16="http://schemas.microsoft.com/office/drawing/2014/main" id="{C275A9CC-C2D0-4873-9D22-EF3D8567DB76}"/>
            </a:ext>
          </a:extLst>
        </xdr:cNvPr>
        <xdr:cNvPicPr preferRelativeResize="0"/>
      </xdr:nvPicPr>
      <xdr:blipFill>
        <a:blip xmlns:r="http://schemas.openxmlformats.org/officeDocument/2006/relationships" r:embed="rId3" cstate="print"/>
        <a:stretch>
          <a:fillRect/>
        </a:stretch>
      </xdr:blipFill>
      <xdr:spPr>
        <a:xfrm>
          <a:off x="6762454" y="1139402"/>
          <a:ext cx="485775" cy="384598"/>
        </a:xfrm>
        <a:prstGeom prst="rect">
          <a:avLst/>
        </a:prstGeom>
        <a:noFill/>
      </xdr:spPr>
    </xdr:pic>
    <xdr:clientData fLocksWithSheet="0"/>
  </xdr:oneCellAnchor>
  <xdr:oneCellAnchor>
    <xdr:from>
      <xdr:col>14</xdr:col>
      <xdr:colOff>512342</xdr:colOff>
      <xdr:row>6</xdr:row>
      <xdr:rowOff>60616</xdr:rowOff>
    </xdr:from>
    <xdr:ext cx="343838" cy="298979"/>
    <xdr:pic>
      <xdr:nvPicPr>
        <xdr:cNvPr id="20" name="image6.png">
          <a:extLst>
            <a:ext uri="{FF2B5EF4-FFF2-40B4-BE49-F238E27FC236}">
              <a16:creationId xmlns:a16="http://schemas.microsoft.com/office/drawing/2014/main" id="{B8E39301-1081-4281-ACEA-CA4D761D040B}"/>
            </a:ext>
          </a:extLst>
        </xdr:cNvPr>
        <xdr:cNvPicPr preferRelativeResize="0"/>
      </xdr:nvPicPr>
      <xdr:blipFill>
        <a:blip xmlns:r="http://schemas.openxmlformats.org/officeDocument/2006/relationships" r:embed="rId4" cstate="print"/>
        <a:stretch>
          <a:fillRect/>
        </a:stretch>
      </xdr:blipFill>
      <xdr:spPr>
        <a:xfrm>
          <a:off x="9741960" y="1190773"/>
          <a:ext cx="343838" cy="298979"/>
        </a:xfrm>
        <a:prstGeom prst="rect">
          <a:avLst/>
        </a:prstGeom>
        <a:noFill/>
      </xdr:spPr>
    </xdr:pic>
    <xdr:clientData fLocksWithSheet="0"/>
  </xdr:oneCellAnchor>
  <xdr:oneCellAnchor>
    <xdr:from>
      <xdr:col>23</xdr:col>
      <xdr:colOff>486657</xdr:colOff>
      <xdr:row>6</xdr:row>
      <xdr:rowOff>86301</xdr:rowOff>
    </xdr:from>
    <xdr:ext cx="390525" cy="314325"/>
    <xdr:pic>
      <xdr:nvPicPr>
        <xdr:cNvPr id="21" name="image2.png">
          <a:extLst>
            <a:ext uri="{FF2B5EF4-FFF2-40B4-BE49-F238E27FC236}">
              <a16:creationId xmlns:a16="http://schemas.microsoft.com/office/drawing/2014/main" id="{18EFEBB1-B310-4259-A364-D98232AB1C2F}"/>
            </a:ext>
          </a:extLst>
        </xdr:cNvPr>
        <xdr:cNvPicPr preferRelativeResize="0"/>
      </xdr:nvPicPr>
      <xdr:blipFill>
        <a:blip xmlns:r="http://schemas.openxmlformats.org/officeDocument/2006/relationships" r:embed="rId5" cstate="print"/>
        <a:stretch>
          <a:fillRect/>
        </a:stretch>
      </xdr:blipFill>
      <xdr:spPr>
        <a:xfrm>
          <a:off x="15649601" y="1216458"/>
          <a:ext cx="390525" cy="314325"/>
        </a:xfrm>
        <a:prstGeom prst="rect">
          <a:avLst/>
        </a:prstGeom>
        <a:noFill/>
      </xdr:spPr>
    </xdr:pic>
    <xdr:clientData fLocksWithSheet="0"/>
  </xdr:oneCellAnchor>
  <xdr:twoCellAnchor>
    <xdr:from>
      <xdr:col>2</xdr:col>
      <xdr:colOff>351034</xdr:colOff>
      <xdr:row>1</xdr:row>
      <xdr:rowOff>25685</xdr:rowOff>
    </xdr:from>
    <xdr:to>
      <xdr:col>15</xdr:col>
      <xdr:colOff>179798</xdr:colOff>
      <xdr:row>5</xdr:row>
      <xdr:rowOff>8562</xdr:rowOff>
    </xdr:to>
    <xdr:sp macro="" textlink="">
      <xdr:nvSpPr>
        <xdr:cNvPr id="22" name="TextBox 21">
          <a:extLst>
            <a:ext uri="{FF2B5EF4-FFF2-40B4-BE49-F238E27FC236}">
              <a16:creationId xmlns:a16="http://schemas.microsoft.com/office/drawing/2014/main" id="{07782DBE-1E38-9EAF-B549-02B8451E5FA4}"/>
            </a:ext>
          </a:extLst>
        </xdr:cNvPr>
        <xdr:cNvSpPr txBox="1"/>
      </xdr:nvSpPr>
      <xdr:spPr>
        <a:xfrm>
          <a:off x="1669551" y="214045"/>
          <a:ext cx="8399123" cy="736315"/>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i="1">
              <a:solidFill>
                <a:srgbClr val="66FF66"/>
              </a:solidFill>
            </a:rPr>
            <a:t>HR ANALYITICS DASHBOARD</a:t>
          </a:r>
        </a:p>
      </xdr:txBody>
    </xdr:sp>
    <xdr:clientData/>
  </xdr:twoCellAnchor>
  <xdr:oneCellAnchor>
    <xdr:from>
      <xdr:col>2</xdr:col>
      <xdr:colOff>625011</xdr:colOff>
      <xdr:row>1</xdr:row>
      <xdr:rowOff>77739</xdr:rowOff>
    </xdr:from>
    <xdr:ext cx="702067" cy="564395"/>
    <xdr:pic>
      <xdr:nvPicPr>
        <xdr:cNvPr id="23" name="image1.png">
          <a:extLst>
            <a:ext uri="{FF2B5EF4-FFF2-40B4-BE49-F238E27FC236}">
              <a16:creationId xmlns:a16="http://schemas.microsoft.com/office/drawing/2014/main" id="{BF0A0E7C-BF71-490C-B4B7-D6F24FD5E468}"/>
            </a:ext>
          </a:extLst>
        </xdr:cNvPr>
        <xdr:cNvPicPr preferRelativeResize="0"/>
      </xdr:nvPicPr>
      <xdr:blipFill>
        <a:blip xmlns:r="http://schemas.openxmlformats.org/officeDocument/2006/relationships" r:embed="rId6" cstate="print"/>
        <a:stretch>
          <a:fillRect/>
        </a:stretch>
      </xdr:blipFill>
      <xdr:spPr>
        <a:xfrm>
          <a:off x="1943528" y="266099"/>
          <a:ext cx="702067" cy="564395"/>
        </a:xfrm>
        <a:prstGeom prst="rect">
          <a:avLst/>
        </a:prstGeom>
        <a:noFill/>
      </xdr:spPr>
    </xdr:pic>
    <xdr:clientData fLocksWithSheet="0"/>
  </xdr:oneCellAnchor>
  <xdr:oneCellAnchor>
    <xdr:from>
      <xdr:col>15</xdr:col>
      <xdr:colOff>375353</xdr:colOff>
      <xdr:row>1</xdr:row>
      <xdr:rowOff>60616</xdr:rowOff>
    </xdr:from>
    <xdr:ext cx="723900" cy="628650"/>
    <xdr:pic>
      <xdr:nvPicPr>
        <xdr:cNvPr id="24" name="image3.png">
          <a:extLst>
            <a:ext uri="{FF2B5EF4-FFF2-40B4-BE49-F238E27FC236}">
              <a16:creationId xmlns:a16="http://schemas.microsoft.com/office/drawing/2014/main" id="{76230DED-5696-462B-9892-B0CF045513D0}"/>
            </a:ext>
          </a:extLst>
        </xdr:cNvPr>
        <xdr:cNvPicPr preferRelativeResize="0"/>
      </xdr:nvPicPr>
      <xdr:blipFill>
        <a:blip xmlns:r="http://schemas.openxmlformats.org/officeDocument/2006/relationships" r:embed="rId7" cstate="print"/>
        <a:stretch>
          <a:fillRect/>
        </a:stretch>
      </xdr:blipFill>
      <xdr:spPr>
        <a:xfrm>
          <a:off x="10264229" y="248976"/>
          <a:ext cx="723900" cy="628650"/>
        </a:xfrm>
        <a:prstGeom prst="rect">
          <a:avLst/>
        </a:prstGeom>
        <a:noFill/>
      </xdr:spPr>
    </xdr:pic>
    <xdr:clientData fLocksWithSheet="0"/>
  </xdr:oneCellAnchor>
  <xdr:twoCellAnchor>
    <xdr:from>
      <xdr:col>16</xdr:col>
      <xdr:colOff>505146</xdr:colOff>
      <xdr:row>2</xdr:row>
      <xdr:rowOff>8564</xdr:rowOff>
    </xdr:from>
    <xdr:to>
      <xdr:col>20</xdr:col>
      <xdr:colOff>385281</xdr:colOff>
      <xdr:row>3</xdr:row>
      <xdr:rowOff>136990</xdr:rowOff>
    </xdr:to>
    <xdr:sp macro="" textlink="">
      <xdr:nvSpPr>
        <xdr:cNvPr id="25" name="TextBox 24">
          <a:extLst>
            <a:ext uri="{FF2B5EF4-FFF2-40B4-BE49-F238E27FC236}">
              <a16:creationId xmlns:a16="http://schemas.microsoft.com/office/drawing/2014/main" id="{EF04E53C-D2DC-A709-3B5D-A1742160C812}"/>
            </a:ext>
          </a:extLst>
        </xdr:cNvPr>
        <xdr:cNvSpPr txBox="1"/>
      </xdr:nvSpPr>
      <xdr:spPr>
        <a:xfrm>
          <a:off x="11053281" y="385283"/>
          <a:ext cx="2517169" cy="316786"/>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66FF66"/>
              </a:solidFill>
            </a:rPr>
            <a:t>JOB</a:t>
          </a:r>
          <a:r>
            <a:rPr lang="en-IN" sz="1400" b="1" baseline="0">
              <a:solidFill>
                <a:srgbClr val="66FF66"/>
              </a:solidFill>
            </a:rPr>
            <a:t> SATISFACTION RATING</a:t>
          </a:r>
          <a:endParaRPr lang="en-IN" sz="1400" b="1">
            <a:solidFill>
              <a:srgbClr val="66FF66"/>
            </a:solidFill>
          </a:endParaRPr>
        </a:p>
      </xdr:txBody>
    </xdr:sp>
    <xdr:clientData/>
  </xdr:twoCellAnchor>
  <xdr:twoCellAnchor>
    <xdr:from>
      <xdr:col>20</xdr:col>
      <xdr:colOff>162674</xdr:colOff>
      <xdr:row>1</xdr:row>
      <xdr:rowOff>8560</xdr:rowOff>
    </xdr:from>
    <xdr:to>
      <xdr:col>22</xdr:col>
      <xdr:colOff>351034</xdr:colOff>
      <xdr:row>5</xdr:row>
      <xdr:rowOff>17124</xdr:rowOff>
    </xdr:to>
    <xdr:graphicFrame macro="">
      <xdr:nvGraphicFramePr>
        <xdr:cNvPr id="26" name="Chart 25">
          <a:extLst>
            <a:ext uri="{FF2B5EF4-FFF2-40B4-BE49-F238E27FC236}">
              <a16:creationId xmlns:a16="http://schemas.microsoft.com/office/drawing/2014/main" id="{675F8B32-2CC5-4F9F-AED2-E3DF94D02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136989</xdr:colOff>
      <xdr:row>1</xdr:row>
      <xdr:rowOff>42806</xdr:rowOff>
    </xdr:from>
    <xdr:to>
      <xdr:col>24</xdr:col>
      <xdr:colOff>299663</xdr:colOff>
      <xdr:row>4</xdr:row>
      <xdr:rowOff>145551</xdr:rowOff>
    </xdr:to>
    <xdr:graphicFrame macro="">
      <xdr:nvGraphicFramePr>
        <xdr:cNvPr id="27" name="Chart 26">
          <a:extLst>
            <a:ext uri="{FF2B5EF4-FFF2-40B4-BE49-F238E27FC236}">
              <a16:creationId xmlns:a16="http://schemas.microsoft.com/office/drawing/2014/main" id="{30304A6A-72D0-4AAF-B071-D17176A40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204117</xdr:colOff>
      <xdr:row>16</xdr:row>
      <xdr:rowOff>145550</xdr:rowOff>
    </xdr:from>
    <xdr:to>
      <xdr:col>5</xdr:col>
      <xdr:colOff>470899</xdr:colOff>
      <xdr:row>24</xdr:row>
      <xdr:rowOff>92123</xdr:rowOff>
    </xdr:to>
    <xdr:graphicFrame macro="">
      <xdr:nvGraphicFramePr>
        <xdr:cNvPr id="55" name="Chart 54">
          <a:extLst>
            <a:ext uri="{FF2B5EF4-FFF2-40B4-BE49-F238E27FC236}">
              <a16:creationId xmlns:a16="http://schemas.microsoft.com/office/drawing/2014/main" id="{0C9E08AB-B01A-4148-82E1-11DCCBA1D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505145</xdr:colOff>
      <xdr:row>16</xdr:row>
      <xdr:rowOff>34930</xdr:rowOff>
    </xdr:from>
    <xdr:to>
      <xdr:col>9</xdr:col>
      <xdr:colOff>42807</xdr:colOff>
      <xdr:row>23</xdr:row>
      <xdr:rowOff>169862</xdr:rowOff>
    </xdr:to>
    <xdr:graphicFrame macro="">
      <xdr:nvGraphicFramePr>
        <xdr:cNvPr id="56" name="Chart 55">
          <a:extLst>
            <a:ext uri="{FF2B5EF4-FFF2-40B4-BE49-F238E27FC236}">
              <a16:creationId xmlns:a16="http://schemas.microsoft.com/office/drawing/2014/main" id="{CD4FE3EC-BFE6-47CC-A933-21F876F49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222607</xdr:colOff>
      <xdr:row>11</xdr:row>
      <xdr:rowOff>128427</xdr:rowOff>
    </xdr:from>
    <xdr:to>
      <xdr:col>8</xdr:col>
      <xdr:colOff>162675</xdr:colOff>
      <xdr:row>13</xdr:row>
      <xdr:rowOff>25686</xdr:rowOff>
    </xdr:to>
    <xdr:sp macro="" textlink="">
      <xdr:nvSpPr>
        <xdr:cNvPr id="57" name="TextBox 56">
          <a:extLst>
            <a:ext uri="{FF2B5EF4-FFF2-40B4-BE49-F238E27FC236}">
              <a16:creationId xmlns:a16="http://schemas.microsoft.com/office/drawing/2014/main" id="{95C6753A-9AEC-8E82-E04D-210A01FD7978}"/>
            </a:ext>
          </a:extLst>
        </xdr:cNvPr>
        <xdr:cNvSpPr txBox="1"/>
      </xdr:nvSpPr>
      <xdr:spPr>
        <a:xfrm>
          <a:off x="2200382" y="2200382"/>
          <a:ext cx="3236360" cy="27397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1">
              <a:solidFill>
                <a:srgbClr val="66FF66"/>
              </a:solidFill>
            </a:rPr>
            <a:t>Total</a:t>
          </a:r>
          <a:r>
            <a:rPr lang="en-IN" sz="1600" b="1" i="1" baseline="0">
              <a:solidFill>
                <a:srgbClr val="66FF66"/>
              </a:solidFill>
            </a:rPr>
            <a:t> Employess of Gender</a:t>
          </a:r>
          <a:endParaRPr lang="en-IN" sz="1600" b="1" i="1">
            <a:solidFill>
              <a:srgbClr val="66FF66"/>
            </a:solidFill>
          </a:endParaRPr>
        </a:p>
      </xdr:txBody>
    </xdr:sp>
    <xdr:clientData/>
  </xdr:twoCellAnchor>
  <xdr:twoCellAnchor editAs="oneCell">
    <xdr:from>
      <xdr:col>4</xdr:col>
      <xdr:colOff>538026</xdr:colOff>
      <xdr:row>14</xdr:row>
      <xdr:rowOff>43491</xdr:rowOff>
    </xdr:from>
    <xdr:to>
      <xdr:col>7</xdr:col>
      <xdr:colOff>8560</xdr:colOff>
      <xdr:row>17</xdr:row>
      <xdr:rowOff>94181</xdr:rowOff>
    </xdr:to>
    <mc:AlternateContent xmlns:mc="http://schemas.openxmlformats.org/markup-compatibility/2006" xmlns:a14="http://schemas.microsoft.com/office/drawing/2010/main">
      <mc:Choice Requires="a14">
        <xdr:graphicFrame macro="">
          <xdr:nvGraphicFramePr>
            <xdr:cNvPr id="58" name="Gender 3">
              <a:extLst>
                <a:ext uri="{FF2B5EF4-FFF2-40B4-BE49-F238E27FC236}">
                  <a16:creationId xmlns:a16="http://schemas.microsoft.com/office/drawing/2014/main" id="{9E8A03D5-537C-4F67-931C-3A6A859311A3}"/>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3179626" y="2710491"/>
              <a:ext cx="1451734" cy="6221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291100</xdr:colOff>
      <xdr:row>13</xdr:row>
      <xdr:rowOff>60616</xdr:rowOff>
    </xdr:from>
    <xdr:to>
      <xdr:col>16</xdr:col>
      <xdr:colOff>547954</xdr:colOff>
      <xdr:row>25</xdr:row>
      <xdr:rowOff>8562</xdr:rowOff>
    </xdr:to>
    <xdr:graphicFrame macro="">
      <xdr:nvGraphicFramePr>
        <xdr:cNvPr id="59" name="Chart 58">
          <a:extLst>
            <a:ext uri="{FF2B5EF4-FFF2-40B4-BE49-F238E27FC236}">
              <a16:creationId xmlns:a16="http://schemas.microsoft.com/office/drawing/2014/main" id="{01BB8637-192D-45D5-BEAC-7BDD9970E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10</xdr:col>
      <xdr:colOff>248292</xdr:colOff>
      <xdr:row>11</xdr:row>
      <xdr:rowOff>85618</xdr:rowOff>
    </xdr:from>
    <xdr:ext cx="3304853" cy="342786"/>
    <xdr:sp macro="" textlink="">
      <xdr:nvSpPr>
        <xdr:cNvPr id="61" name="TextBox 60">
          <a:extLst>
            <a:ext uri="{FF2B5EF4-FFF2-40B4-BE49-F238E27FC236}">
              <a16:creationId xmlns:a16="http://schemas.microsoft.com/office/drawing/2014/main" id="{1BECE037-8DE8-2155-BB70-C1BF287E0744}"/>
            </a:ext>
          </a:extLst>
        </xdr:cNvPr>
        <xdr:cNvSpPr txBox="1"/>
      </xdr:nvSpPr>
      <xdr:spPr>
        <a:xfrm>
          <a:off x="6840876" y="2157573"/>
          <a:ext cx="3304853" cy="342786"/>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i="1">
              <a:solidFill>
                <a:srgbClr val="66FF66"/>
              </a:solidFill>
            </a:rPr>
            <a:t>Education Wise Attrition</a:t>
          </a:r>
        </a:p>
      </xdr:txBody>
    </xdr:sp>
    <xdr:clientData/>
  </xdr:oneCellAnchor>
  <xdr:twoCellAnchor>
    <xdr:from>
      <xdr:col>17</xdr:col>
      <xdr:colOff>402405</xdr:colOff>
      <xdr:row>13</xdr:row>
      <xdr:rowOff>43493</xdr:rowOff>
    </xdr:from>
    <xdr:to>
      <xdr:col>24</xdr:col>
      <xdr:colOff>214045</xdr:colOff>
      <xdr:row>25</xdr:row>
      <xdr:rowOff>8562</xdr:rowOff>
    </xdr:to>
    <mc:AlternateContent xmlns:mc="http://schemas.openxmlformats.org/markup-compatibility/2006">
      <mc:Choice xmlns:cx1="http://schemas.microsoft.com/office/drawing/2015/9/8/chartex" Requires="cx1">
        <xdr:graphicFrame macro="">
          <xdr:nvGraphicFramePr>
            <xdr:cNvPr id="62" name="Chart 61">
              <a:extLst>
                <a:ext uri="{FF2B5EF4-FFF2-40B4-BE49-F238E27FC236}">
                  <a16:creationId xmlns:a16="http://schemas.microsoft.com/office/drawing/2014/main" id="{D093F444-AD2F-4777-B3B8-5D76B2C467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1542845" y="2519993"/>
              <a:ext cx="4398880" cy="22510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556517</xdr:colOff>
      <xdr:row>11</xdr:row>
      <xdr:rowOff>119865</xdr:rowOff>
    </xdr:from>
    <xdr:to>
      <xdr:col>23</xdr:col>
      <xdr:colOff>556517</xdr:colOff>
      <xdr:row>13</xdr:row>
      <xdr:rowOff>0</xdr:rowOff>
    </xdr:to>
    <xdr:sp macro="" textlink="">
      <xdr:nvSpPr>
        <xdr:cNvPr id="63" name="TextBox 62">
          <a:extLst>
            <a:ext uri="{FF2B5EF4-FFF2-40B4-BE49-F238E27FC236}">
              <a16:creationId xmlns:a16="http://schemas.microsoft.com/office/drawing/2014/main" id="{98B2630F-0866-F8E2-1AA3-04523A6A1AB5}"/>
            </a:ext>
          </a:extLst>
        </xdr:cNvPr>
        <xdr:cNvSpPr txBox="1"/>
      </xdr:nvSpPr>
      <xdr:spPr>
        <a:xfrm>
          <a:off x="11763910" y="2191820"/>
          <a:ext cx="3955551" cy="256854"/>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1">
              <a:solidFill>
                <a:srgbClr val="66FF66"/>
              </a:solidFill>
            </a:rPr>
            <a:t>Attrition by</a:t>
          </a:r>
          <a:r>
            <a:rPr lang="en-IN" sz="1600" b="1" i="1" baseline="0">
              <a:solidFill>
                <a:srgbClr val="66FF66"/>
              </a:solidFill>
            </a:rPr>
            <a:t> Job Role</a:t>
          </a:r>
          <a:endParaRPr lang="en-IN" sz="1600" b="1" i="1">
            <a:solidFill>
              <a:srgbClr val="66FF66"/>
            </a:solidFill>
          </a:endParaRPr>
        </a:p>
      </xdr:txBody>
    </xdr:sp>
    <xdr:clientData/>
  </xdr:twoCellAnchor>
  <xdr:twoCellAnchor>
    <xdr:from>
      <xdr:col>2</xdr:col>
      <xdr:colOff>496583</xdr:colOff>
      <xdr:row>27</xdr:row>
      <xdr:rowOff>163357</xdr:rowOff>
    </xdr:from>
    <xdr:to>
      <xdr:col>8</xdr:col>
      <xdr:colOff>419528</xdr:colOff>
      <xdr:row>39</xdr:row>
      <xdr:rowOff>0</xdr:rowOff>
    </xdr:to>
    <xdr:graphicFrame macro="">
      <xdr:nvGraphicFramePr>
        <xdr:cNvPr id="65" name="Chart 64">
          <a:extLst>
            <a:ext uri="{FF2B5EF4-FFF2-40B4-BE49-F238E27FC236}">
              <a16:creationId xmlns:a16="http://schemas.microsoft.com/office/drawing/2014/main" id="{0DAD9352-3A0C-4442-A152-EBF0D8DF3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196921</xdr:colOff>
      <xdr:row>25</xdr:row>
      <xdr:rowOff>154112</xdr:rowOff>
    </xdr:from>
    <xdr:to>
      <xdr:col>7</xdr:col>
      <xdr:colOff>642134</xdr:colOff>
      <xdr:row>27</xdr:row>
      <xdr:rowOff>111303</xdr:rowOff>
    </xdr:to>
    <xdr:sp macro="" textlink="">
      <xdr:nvSpPr>
        <xdr:cNvPr id="66" name="TextBox 65">
          <a:extLst>
            <a:ext uri="{FF2B5EF4-FFF2-40B4-BE49-F238E27FC236}">
              <a16:creationId xmlns:a16="http://schemas.microsoft.com/office/drawing/2014/main" id="{5FB56C8F-FFA3-EAC5-6C3F-A632DEC9D0A4}"/>
            </a:ext>
          </a:extLst>
        </xdr:cNvPr>
        <xdr:cNvSpPr txBox="1"/>
      </xdr:nvSpPr>
      <xdr:spPr>
        <a:xfrm>
          <a:off x="2174696" y="4863101"/>
          <a:ext cx="3082247" cy="33391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1">
              <a:solidFill>
                <a:srgbClr val="66FF66"/>
              </a:solidFill>
            </a:rPr>
            <a:t>Department wise Attrition</a:t>
          </a:r>
        </a:p>
      </xdr:txBody>
    </xdr:sp>
    <xdr:clientData/>
  </xdr:twoCellAnchor>
  <xdr:twoCellAnchor>
    <xdr:from>
      <xdr:col>9</xdr:col>
      <xdr:colOff>255489</xdr:colOff>
      <xdr:row>27</xdr:row>
      <xdr:rowOff>180482</xdr:rowOff>
    </xdr:from>
    <xdr:to>
      <xdr:col>14</xdr:col>
      <xdr:colOff>609177</xdr:colOff>
      <xdr:row>38</xdr:row>
      <xdr:rowOff>158307</xdr:rowOff>
    </xdr:to>
    <xdr:graphicFrame macro="">
      <xdr:nvGraphicFramePr>
        <xdr:cNvPr id="68" name="Chart 67">
          <a:extLst>
            <a:ext uri="{FF2B5EF4-FFF2-40B4-BE49-F238E27FC236}">
              <a16:creationId xmlns:a16="http://schemas.microsoft.com/office/drawing/2014/main" id="{965962DD-CC86-45E8-B8D4-A599E8C62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207818</xdr:colOff>
      <xdr:row>25</xdr:row>
      <xdr:rowOff>168234</xdr:rowOff>
    </xdr:from>
    <xdr:to>
      <xdr:col>13</xdr:col>
      <xdr:colOff>613559</xdr:colOff>
      <xdr:row>27</xdr:row>
      <xdr:rowOff>138546</xdr:rowOff>
    </xdr:to>
    <xdr:sp macro="" textlink="">
      <xdr:nvSpPr>
        <xdr:cNvPr id="70" name="TextBox 69">
          <a:extLst>
            <a:ext uri="{FF2B5EF4-FFF2-40B4-BE49-F238E27FC236}">
              <a16:creationId xmlns:a16="http://schemas.microsoft.com/office/drawing/2014/main" id="{E65A6713-695B-0755-E4CB-30A87D197156}"/>
            </a:ext>
          </a:extLst>
        </xdr:cNvPr>
        <xdr:cNvSpPr txBox="1"/>
      </xdr:nvSpPr>
      <xdr:spPr>
        <a:xfrm>
          <a:off x="6739247" y="4868883"/>
          <a:ext cx="2365169" cy="346364"/>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u="sng">
              <a:solidFill>
                <a:srgbClr val="66FF66"/>
              </a:solidFill>
            </a:rPr>
            <a:t>Attrition</a:t>
          </a:r>
          <a:r>
            <a:rPr lang="en-IN" sz="1800" b="1" u="sng" baseline="0">
              <a:solidFill>
                <a:srgbClr val="66FF66"/>
              </a:solidFill>
            </a:rPr>
            <a:t> by Age Group</a:t>
          </a:r>
        </a:p>
        <a:p>
          <a:pPr algn="ctr"/>
          <a:endParaRPr lang="en-IN" sz="1800" b="1" u="sng">
            <a:solidFill>
              <a:srgbClr val="66FF66"/>
            </a:solidFill>
          </a:endParaRPr>
        </a:p>
      </xdr:txBody>
    </xdr:sp>
    <xdr:clientData/>
  </xdr:twoCellAnchor>
  <xdr:twoCellAnchor>
    <xdr:from>
      <xdr:col>15</xdr:col>
      <xdr:colOff>195741</xdr:colOff>
      <xdr:row>27</xdr:row>
      <xdr:rowOff>116349</xdr:rowOff>
    </xdr:from>
    <xdr:to>
      <xdr:col>19</xdr:col>
      <xdr:colOff>626809</xdr:colOff>
      <xdr:row>38</xdr:row>
      <xdr:rowOff>142068</xdr:rowOff>
    </xdr:to>
    <mc:AlternateContent xmlns:mc="http://schemas.openxmlformats.org/markup-compatibility/2006">
      <mc:Choice xmlns:cx2="http://schemas.microsoft.com/office/drawing/2015/10/21/chartex" Requires="cx2">
        <xdr:graphicFrame macro="">
          <xdr:nvGraphicFramePr>
            <xdr:cNvPr id="71" name="Chart 70">
              <a:extLst>
                <a:ext uri="{FF2B5EF4-FFF2-40B4-BE49-F238E27FC236}">
                  <a16:creationId xmlns:a16="http://schemas.microsoft.com/office/drawing/2014/main" id="{9C15B493-55C7-4F1B-BCBE-D4E96C86F9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0025541" y="5259849"/>
              <a:ext cx="3052348" cy="21212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484909</xdr:colOff>
      <xdr:row>25</xdr:row>
      <xdr:rowOff>168234</xdr:rowOff>
    </xdr:from>
    <xdr:to>
      <xdr:col>19</xdr:col>
      <xdr:colOff>356260</xdr:colOff>
      <xdr:row>27</xdr:row>
      <xdr:rowOff>128650</xdr:rowOff>
    </xdr:to>
    <xdr:sp macro="" textlink="">
      <xdr:nvSpPr>
        <xdr:cNvPr id="72" name="TextBox 71">
          <a:extLst>
            <a:ext uri="{FF2B5EF4-FFF2-40B4-BE49-F238E27FC236}">
              <a16:creationId xmlns:a16="http://schemas.microsoft.com/office/drawing/2014/main" id="{9D48C7C7-C5C1-C9BD-ABAB-12CFC0B3310F}"/>
            </a:ext>
          </a:extLst>
        </xdr:cNvPr>
        <xdr:cNvSpPr txBox="1"/>
      </xdr:nvSpPr>
      <xdr:spPr>
        <a:xfrm>
          <a:off x="10282052" y="4868883"/>
          <a:ext cx="2483922" cy="33646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solidFill>
                <a:srgbClr val="66FF66"/>
              </a:solidFill>
            </a:rPr>
            <a:t>Attrition by Age Group</a:t>
          </a:r>
        </a:p>
      </xdr:txBody>
    </xdr:sp>
    <xdr:clientData/>
  </xdr:twoCellAnchor>
  <xdr:twoCellAnchor editAs="oneCell">
    <xdr:from>
      <xdr:col>20</xdr:col>
      <xdr:colOff>164388</xdr:colOff>
      <xdr:row>26</xdr:row>
      <xdr:rowOff>152074</xdr:rowOff>
    </xdr:from>
    <xdr:to>
      <xdr:col>22</xdr:col>
      <xdr:colOff>379909</xdr:colOff>
      <xdr:row>38</xdr:row>
      <xdr:rowOff>44280</xdr:rowOff>
    </xdr:to>
    <mc:AlternateContent xmlns:mc="http://schemas.openxmlformats.org/markup-compatibility/2006" xmlns:a14="http://schemas.microsoft.com/office/drawing/2010/main">
      <mc:Choice Requires="a14">
        <xdr:graphicFrame macro="">
          <xdr:nvGraphicFramePr>
            <xdr:cNvPr id="73" name="Education Field 3">
              <a:extLst>
                <a:ext uri="{FF2B5EF4-FFF2-40B4-BE49-F238E27FC236}">
                  <a16:creationId xmlns:a16="http://schemas.microsoft.com/office/drawing/2014/main" id="{EE3229CC-A054-4C0D-A47B-3F29DDD52019}"/>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3372388" y="5105074"/>
              <a:ext cx="1536321" cy="2178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496998</xdr:colOff>
      <xdr:row>28</xdr:row>
      <xdr:rowOff>62506</xdr:rowOff>
    </xdr:from>
    <xdr:to>
      <xdr:col>24</xdr:col>
      <xdr:colOff>475013</xdr:colOff>
      <xdr:row>35</xdr:row>
      <xdr:rowOff>19791</xdr:rowOff>
    </xdr:to>
    <mc:AlternateContent xmlns:mc="http://schemas.openxmlformats.org/markup-compatibility/2006" xmlns:a14="http://schemas.microsoft.com/office/drawing/2010/main">
      <mc:Choice Requires="a14">
        <xdr:graphicFrame macro="">
          <xdr:nvGraphicFramePr>
            <xdr:cNvPr id="74" name="Department 1">
              <a:extLst>
                <a:ext uri="{FF2B5EF4-FFF2-40B4-BE49-F238E27FC236}">
                  <a16:creationId xmlns:a16="http://schemas.microsoft.com/office/drawing/2014/main" id="{62F76C6B-3CC0-4E2F-9575-85DDEE9E459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025798" y="5396506"/>
              <a:ext cx="1298815" cy="1290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c:userShapes xmlns:c="http://schemas.openxmlformats.org/drawingml/2006/chart">
  <cdr:relSizeAnchor xmlns:cdr="http://schemas.openxmlformats.org/drawingml/2006/chartDrawing">
    <cdr:from>
      <cdr:x>0.45528</cdr:x>
      <cdr:y>0.4382</cdr:y>
    </cdr:from>
    <cdr:to>
      <cdr:x>0.65854</cdr:x>
      <cdr:y>0.64045</cdr:y>
    </cdr:to>
    <cdr:sp macro="" textlink="">
      <cdr:nvSpPr>
        <cdr:cNvPr id="2" name="TextBox 1">
          <a:extLst xmlns:a="http://schemas.openxmlformats.org/drawingml/2006/main">
            <a:ext uri="{FF2B5EF4-FFF2-40B4-BE49-F238E27FC236}">
              <a16:creationId xmlns:a16="http://schemas.microsoft.com/office/drawing/2014/main" id="{50988E28-1B44-8C38-AFB2-27CCBE82AF55}"/>
            </a:ext>
          </a:extLst>
        </cdr:cNvPr>
        <cdr:cNvSpPr txBox="1"/>
      </cdr:nvSpPr>
      <cdr:spPr>
        <a:xfrm xmlns:a="http://schemas.openxmlformats.org/drawingml/2006/main">
          <a:off x="479460" y="333910"/>
          <a:ext cx="214045" cy="1541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0.39773</cdr:x>
      <cdr:y>0.33708</cdr:y>
    </cdr:from>
    <cdr:to>
      <cdr:x>0.71591</cdr:x>
      <cdr:y>0.67416</cdr:y>
    </cdr:to>
    <cdr:sp macro="" textlink="Rating!$B$8">
      <cdr:nvSpPr>
        <cdr:cNvPr id="3" name="TextBox 2">
          <a:extLst xmlns:a="http://schemas.openxmlformats.org/drawingml/2006/main">
            <a:ext uri="{FF2B5EF4-FFF2-40B4-BE49-F238E27FC236}">
              <a16:creationId xmlns:a16="http://schemas.microsoft.com/office/drawing/2014/main" id="{D562B6D5-589F-D9CA-2C74-5A7F7CB112E6}"/>
            </a:ext>
          </a:extLst>
        </cdr:cNvPr>
        <cdr:cNvSpPr txBox="1"/>
      </cdr:nvSpPr>
      <cdr:spPr>
        <a:xfrm xmlns:a="http://schemas.openxmlformats.org/drawingml/2006/main">
          <a:off x="599326" y="256855"/>
          <a:ext cx="479460" cy="25685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EC04BF63-D07E-4F64-8463-39CDD35F215B}" type="TxLink">
            <a:rPr lang="en-US" sz="1200" b="1" i="0" u="none" strike="noStrike" kern="1200">
              <a:solidFill>
                <a:schemeClr val="tx2"/>
              </a:solidFill>
              <a:latin typeface="Calibri"/>
              <a:ea typeface="Calibri"/>
              <a:cs typeface="Calibri"/>
            </a:rPr>
            <a:pPr/>
            <a:t>2.7</a:t>
          </a:fld>
          <a:endParaRPr lang="en-IN" sz="1100" b="1" kern="1200">
            <a:solidFill>
              <a:schemeClr val="tx2"/>
            </a:solidFill>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0.68721</cdr:x>
      <cdr:y>0.18261</cdr:y>
    </cdr:from>
    <cdr:to>
      <cdr:x>1</cdr:x>
      <cdr:y>0.81174</cdr:y>
    </cdr:to>
    <cdr:pic>
      <cdr:nvPicPr>
        <cdr:cNvPr id="5" name="Graphic 4" descr="Female Profile with solid fill">
          <a:extLst xmlns:a="http://schemas.openxmlformats.org/drawingml/2006/main">
            <a:ext uri="{FF2B5EF4-FFF2-40B4-BE49-F238E27FC236}">
              <a16:creationId xmlns:a16="http://schemas.microsoft.com/office/drawing/2014/main" id="{9B47C163-7750-0040-5E67-0DAA444FECA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542489" y="265416"/>
          <a:ext cx="702067" cy="914400"/>
        </a:xfrm>
        <a:prstGeom xmlns:a="http://schemas.openxmlformats.org/drawingml/2006/main" prst="rect">
          <a:avLst/>
        </a:prstGeom>
      </cdr:spPr>
    </cdr:pic>
  </cdr:relSizeAnchor>
  <cdr:relSizeAnchor xmlns:cdr="http://schemas.openxmlformats.org/drawingml/2006/chartDrawing">
    <cdr:from>
      <cdr:x>0.32865</cdr:x>
      <cdr:y>0.40646</cdr:y>
    </cdr:from>
    <cdr:to>
      <cdr:x>0.52701</cdr:x>
      <cdr:y>0.5714</cdr:y>
    </cdr:to>
    <cdr:sp macro="" textlink="Gender!$B$10">
      <cdr:nvSpPr>
        <cdr:cNvPr id="6" name="TextBox 5">
          <a:extLst xmlns:a="http://schemas.openxmlformats.org/drawingml/2006/main">
            <a:ext uri="{FF2B5EF4-FFF2-40B4-BE49-F238E27FC236}">
              <a16:creationId xmlns:a16="http://schemas.microsoft.com/office/drawing/2014/main" id="{2C74A5EC-8555-8159-9205-279BBBF39921}"/>
            </a:ext>
          </a:extLst>
        </cdr:cNvPr>
        <cdr:cNvSpPr txBox="1"/>
      </cdr:nvSpPr>
      <cdr:spPr>
        <a:xfrm xmlns:a="http://schemas.openxmlformats.org/drawingml/2006/main">
          <a:off x="737681" y="590764"/>
          <a:ext cx="445213" cy="239731"/>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fld id="{EBEDEE13-1C67-4F41-9A70-C505C59CED95}" type="TxLink">
            <a:rPr lang="en-US" sz="1200" b="1" i="1" u="none" strike="noStrike" kern="1200">
              <a:solidFill>
                <a:srgbClr val="000000"/>
              </a:solidFill>
              <a:latin typeface="+mj-lt"/>
              <a:ea typeface="Calibri"/>
              <a:cs typeface="Calibri"/>
            </a:rPr>
            <a:pPr/>
            <a:t>588</a:t>
          </a:fld>
          <a:endParaRPr lang="en-IN" sz="1100" b="1" i="1" kern="1200">
            <a:latin typeface="+mj-lt"/>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cdr:x>
      <cdr:y>0.27097</cdr:y>
    </cdr:from>
    <cdr:to>
      <cdr:x>0.2874</cdr:x>
      <cdr:y>0.9001</cdr:y>
    </cdr:to>
    <cdr:pic>
      <cdr:nvPicPr>
        <cdr:cNvPr id="3" name="Graphic 2" descr="Male profile with solid fill">
          <a:extLst xmlns:a="http://schemas.openxmlformats.org/drawingml/2006/main">
            <a:ext uri="{FF2B5EF4-FFF2-40B4-BE49-F238E27FC236}">
              <a16:creationId xmlns:a16="http://schemas.microsoft.com/office/drawing/2014/main" id="{40F788B1-2766-F064-53B3-8CA3789C70A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393843"/>
          <a:ext cx="625010" cy="914400"/>
        </a:xfrm>
        <a:prstGeom xmlns:a="http://schemas.openxmlformats.org/drawingml/2006/main" prst="rect">
          <a:avLst/>
        </a:prstGeom>
      </cdr:spPr>
    </cdr:pic>
  </cdr:relSizeAnchor>
  <cdr:relSizeAnchor xmlns:cdr="http://schemas.openxmlformats.org/drawingml/2006/chartDrawing">
    <cdr:from>
      <cdr:x>0.28976</cdr:x>
      <cdr:y>0.18544</cdr:y>
    </cdr:from>
    <cdr:to>
      <cdr:x>0.71024</cdr:x>
      <cdr:y>0.81456</cdr:y>
    </cdr:to>
    <cdr:sp macro="" textlink="">
      <cdr:nvSpPr>
        <cdr:cNvPr id="4" name="TextBox 3">
          <a:extLst xmlns:a="http://schemas.openxmlformats.org/drawingml/2006/main">
            <a:ext uri="{FF2B5EF4-FFF2-40B4-BE49-F238E27FC236}">
              <a16:creationId xmlns:a16="http://schemas.microsoft.com/office/drawing/2014/main" id="{A6FA2842-6BCD-6004-1D76-A0425CB3457A}"/>
            </a:ext>
          </a:extLst>
        </cdr:cNvPr>
        <cdr:cNvSpPr txBox="1"/>
      </cdr:nvSpPr>
      <cdr:spPr>
        <a:xfrm xmlns:a="http://schemas.openxmlformats.org/drawingml/2006/main">
          <a:off x="630148" y="269524"/>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0.49213</cdr:x>
      <cdr:y>0.42955</cdr:y>
    </cdr:from>
    <cdr:to>
      <cdr:x>0.71654</cdr:x>
      <cdr:y>0.60038</cdr:y>
    </cdr:to>
    <cdr:sp macro="" textlink="Gender!$B$11">
      <cdr:nvSpPr>
        <cdr:cNvPr id="5" name="TextBox 4">
          <a:extLst xmlns:a="http://schemas.openxmlformats.org/drawingml/2006/main">
            <a:ext uri="{FF2B5EF4-FFF2-40B4-BE49-F238E27FC236}">
              <a16:creationId xmlns:a16="http://schemas.microsoft.com/office/drawing/2014/main" id="{271363FE-50CA-68B7-E536-DBF607339263}"/>
            </a:ext>
          </a:extLst>
        </cdr:cNvPr>
        <cdr:cNvSpPr txBox="1"/>
      </cdr:nvSpPr>
      <cdr:spPr>
        <a:xfrm xmlns:a="http://schemas.openxmlformats.org/drawingml/2006/main">
          <a:off x="1070226" y="624328"/>
          <a:ext cx="488022" cy="24829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A6DAE9A4-B433-4D6F-BC65-05B372DC14D7}" type="TxLink">
            <a:rPr lang="en-US" sz="1200" b="1" i="0" u="none" strike="noStrike" kern="1200">
              <a:solidFill>
                <a:srgbClr val="000000"/>
              </a:solidFill>
              <a:latin typeface="+mj-lt"/>
              <a:ea typeface="Calibri"/>
              <a:cs typeface="Calibri"/>
            </a:rPr>
            <a:pPr/>
            <a:t>882</a:t>
          </a:fld>
          <a:endParaRPr lang="en-IN" sz="1100" b="1" kern="1200">
            <a:latin typeface="+mj-l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YAS SAHOO" refreshedDate="45928.673645717594" createdVersion="8" refreshedVersion="8" minRefreshableVersion="3" recordCount="1470" xr:uid="{887C7948-8DE1-4A38-89B5-1457F6D6F767}">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1221065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B16237-4158-443E-8E49-A5CA9F20814A}"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formats count="3">
    <format dxfId="3">
      <pivotArea dataOnly="0" labelOnly="1" outline="0" fieldPosition="0">
        <references count="1">
          <reference field="4294967294" count="1">
            <x v="0"/>
          </reference>
        </references>
      </pivotArea>
    </format>
    <format dxfId="2">
      <pivotArea dataOnly="0" labelOnly="1" outline="0" fieldPosition="0">
        <references count="1">
          <reference field="4294967294" count="1">
            <x v="1"/>
          </reference>
        </references>
      </pivotArea>
    </format>
    <format dxfId="1">
      <pivotArea dataOnly="0" labelOnly="1" outline="0" fieldPosition="0">
        <references count="1">
          <reference field="4294967294" count="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D5DE2B-42DF-4215-8F27-139BF57C9F3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29B89E-529A-4205-BE2A-1F795A89CD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706D3C-76D7-4798-BEEC-24923E9D2B9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0F686E-9F71-4813-BE81-D223A178AC0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48FBDD-0DCE-4D36-AA6D-F6CD3DE1561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4" count="1" selected="0">
            <x v="0"/>
          </reference>
        </references>
      </pivotArea>
    </chartFormat>
    <chartFormat chart="6" format="7">
      <pivotArea type="data" outline="0" fieldPosition="0">
        <references count="2">
          <reference field="4294967294" count="1" selected="0">
            <x v="0"/>
          </reference>
          <reference field="4" count="1" selected="0">
            <x v="1"/>
          </reference>
        </references>
      </pivotArea>
    </chartFormat>
    <chartFormat chart="6"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372E62-5F5D-4E9F-9903-D3921479D24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4C720B-D6E8-4E9C-A9E3-86706571FC5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77634B9-3418-473E-944C-3AAD328EAD03}" sourceName="Gender">
  <pivotTables>
    <pivotTable tabId="7" name="KPI"/>
  </pivotTables>
  <data>
    <tabular pivotCacheId="112210650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9A909E13-C48B-4D51-A799-85A2FE59711E}" sourceName="Gender">
  <pivotTables>
    <pivotTable tabId="8" name="PivotTable2"/>
  </pivotTables>
  <data>
    <tabular pivotCacheId="1122106506">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312EE16D-DF65-4702-979C-ADEA4B9D93EA}" sourceName="Gender">
  <pivotTables>
    <pivotTable tabId="9" name="PivotTable4"/>
  </pivotTables>
  <data>
    <tabular pivotCacheId="112210650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37C614B-95AF-40CB-AEAF-6235A3D95F48}" sourceName="Department">
  <pivotTables>
    <pivotTable tabId="13" name="PivotTable8"/>
    <pivotTable tabId="11" name="PivotTable6"/>
    <pivotTable tabId="12" name="PivotTable7"/>
    <pivotTable tabId="10" name="PivotTable5"/>
    <pivotTable tabId="9" name="PivotTable4"/>
    <pivotTable tabId="7" name="KPI"/>
    <pivotTable tabId="14" name="PivotTable9"/>
    <pivotTable tabId="8" name="PivotTable2"/>
  </pivotTables>
  <data>
    <tabular pivotCacheId="1122106506">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DA1A14F0-BF00-4774-B873-0D2ECF67F1C6}" sourceName="Education Field">
  <pivotTables>
    <pivotTable tabId="13" name="PivotTable8"/>
    <pivotTable tabId="11" name="PivotTable6"/>
    <pivotTable tabId="12" name="PivotTable7"/>
    <pivotTable tabId="10" name="PivotTable5"/>
    <pivotTable tabId="9" name="PivotTable4"/>
    <pivotTable tabId="7" name="KPI"/>
    <pivotTable tabId="14" name="PivotTable9"/>
    <pivotTable tabId="8" name="PivotTable2"/>
  </pivotTables>
  <data>
    <tabular pivotCacheId="1122106506">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3A12D0E-5D67-4953-BB72-28B5BF5D6420}" cache="Slicer_Gender"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9285F25-57A2-4052-9978-51331EC7492C}" cache="Slicer_Gender1" caption="Gender" rowHeight="260350"/>
  <slicer name="Education Field" xr10:uid="{27EBAB52-C953-432D-832A-58523C21BB35}"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739B1366-56C4-40F6-9C12-23E240B3CC00}" cache="Slicer_Gender2" caption="Gender" rowHeight="260350"/>
  <slicer name="Education Field 1" xr10:uid="{8B517F91-5C29-43AC-A591-8F5F4A7743AD}"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5624C72-95FA-4FBA-B0C3-A0B922475978}" cache="Slicer_Department" caption="Department" rowHeight="260350"/>
  <slicer name="Education Field 2" xr10:uid="{6C277ED1-993D-4E9C-A760-7DE24846497B}"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C7F02048-1EF3-459E-99FC-2FE1790322C5}" cache="Slicer_Gender2" caption="Gender" columnCount="2" rowHeight="260350"/>
  <slicer name="Department 1" xr10:uid="{4DEF4F43-E60B-4857-9BAC-533EB10BA162}" cache="Slicer_Department" caption="Department" rowHeight="260350"/>
  <slicer name="Education Field 3" xr10:uid="{1ECE03AE-10F9-4509-BA70-785D441A2E7B}" cache="Slicer_Education_Field2" caption="Education Field"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C490E-7611-4F52-A995-B6AFB0BF31BE}">
  <dimension ref="A3:E9"/>
  <sheetViews>
    <sheetView workbookViewId="0">
      <selection activeCell="E8" sqref="E8"/>
    </sheetView>
  </sheetViews>
  <sheetFormatPr defaultRowHeight="15.6" x14ac:dyDescent="0.3"/>
  <cols>
    <col min="1" max="1" width="24.5" bestFit="1" customWidth="1"/>
    <col min="2" max="2" width="22.796875" bestFit="1" customWidth="1"/>
    <col min="3" max="3" width="13.5" bestFit="1" customWidth="1"/>
    <col min="4" max="4" width="16" customWidth="1"/>
    <col min="5" max="5" width="18" customWidth="1"/>
  </cols>
  <sheetData>
    <row r="3" spans="1:5" x14ac:dyDescent="0.3">
      <c r="A3" s="7" t="s">
        <v>1554</v>
      </c>
      <c r="B3" s="8" t="s">
        <v>1555</v>
      </c>
      <c r="C3" s="9" t="s">
        <v>1556</v>
      </c>
    </row>
    <row r="4" spans="1:5" x14ac:dyDescent="0.3">
      <c r="A4" s="4">
        <v>1470</v>
      </c>
      <c r="B4" s="6">
        <v>237</v>
      </c>
      <c r="C4" s="5">
        <v>36.923809523809524</v>
      </c>
    </row>
    <row r="8" spans="1:5" x14ac:dyDescent="0.3">
      <c r="A8" s="1" t="s">
        <v>1557</v>
      </c>
      <c r="B8" s="1" t="s">
        <v>1558</v>
      </c>
      <c r="C8" s="1" t="s">
        <v>1559</v>
      </c>
      <c r="D8" s="1" t="s">
        <v>1560</v>
      </c>
      <c r="E8" s="1" t="s">
        <v>1561</v>
      </c>
    </row>
    <row r="9" spans="1:5" x14ac:dyDescent="0.3">
      <c r="A9">
        <f>GETPIVOTDATA("Count of Employee Number",$A$3)</f>
        <v>1470</v>
      </c>
      <c r="B9">
        <f>GETPIVOTDATA("Sum of CF_attrition count",$A$3)</f>
        <v>237</v>
      </c>
      <c r="C9" s="13">
        <f>GETPIVOTDATA("Average of Age",$A$3)</f>
        <v>36.923809523809524</v>
      </c>
      <c r="D9">
        <f>A9-B9</f>
        <v>1233</v>
      </c>
      <c r="E9" s="11">
        <f>B9/A9</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8830A-6A82-48DB-99BE-2943F5717FA8}">
  <dimension ref="A3:C9"/>
  <sheetViews>
    <sheetView workbookViewId="0">
      <selection activeCell="C13" sqref="C13"/>
    </sheetView>
  </sheetViews>
  <sheetFormatPr defaultRowHeight="15.6" x14ac:dyDescent="0.3"/>
  <cols>
    <col min="1" max="1" width="23.59765625" bestFit="1" customWidth="1"/>
    <col min="3" max="3" width="23.69921875" customWidth="1"/>
  </cols>
  <sheetData>
    <row r="3" spans="1:3" x14ac:dyDescent="0.3">
      <c r="A3" s="2" t="s">
        <v>1562</v>
      </c>
    </row>
    <row r="4" spans="1:3" x14ac:dyDescent="0.3">
      <c r="A4" s="14">
        <v>2.6530612244897958</v>
      </c>
    </row>
    <row r="8" spans="1:3" x14ac:dyDescent="0.3">
      <c r="A8" s="1" t="s">
        <v>1563</v>
      </c>
      <c r="B8" s="12">
        <f>GETPIVOTDATA("Job Satisfaction",$A$3)</f>
        <v>2.6530612244897958</v>
      </c>
      <c r="C8">
        <f>B8/4</f>
        <v>0.66326530612244894</v>
      </c>
    </row>
    <row r="9" spans="1:3" x14ac:dyDescent="0.3">
      <c r="A9" s="1" t="s">
        <v>1564</v>
      </c>
      <c r="B9" s="12">
        <f>4-GETPIVOTDATA("Job Satisfaction",$A$3)</f>
        <v>1.3469387755102042</v>
      </c>
      <c r="C9">
        <f>B9/4</f>
        <v>0.33673469387755106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BC3D7-3991-4D98-AB5E-E9C5E67282E3}">
  <dimension ref="A3:C11"/>
  <sheetViews>
    <sheetView workbookViewId="0">
      <selection activeCell="C10" sqref="C10:C11"/>
    </sheetView>
  </sheetViews>
  <sheetFormatPr defaultRowHeight="15.6" x14ac:dyDescent="0.3"/>
  <cols>
    <col min="1" max="1" width="12.19921875" bestFit="1" customWidth="1"/>
    <col min="2" max="2" width="22.796875" bestFit="1" customWidth="1"/>
  </cols>
  <sheetData>
    <row r="3" spans="1:3" x14ac:dyDescent="0.3">
      <c r="A3" s="15" t="s">
        <v>1565</v>
      </c>
      <c r="B3" s="2" t="s">
        <v>1567</v>
      </c>
    </row>
    <row r="4" spans="1:3" x14ac:dyDescent="0.3">
      <c r="A4" s="16" t="s">
        <v>51</v>
      </c>
      <c r="B4" s="2">
        <v>588</v>
      </c>
    </row>
    <row r="5" spans="1:3" x14ac:dyDescent="0.3">
      <c r="A5" s="17" t="s">
        <v>62</v>
      </c>
      <c r="B5" s="18">
        <v>882</v>
      </c>
    </row>
    <row r="6" spans="1:3" x14ac:dyDescent="0.3">
      <c r="A6" s="19" t="s">
        <v>1566</v>
      </c>
      <c r="B6" s="3">
        <v>1470</v>
      </c>
    </row>
    <row r="10" spans="1:3" x14ac:dyDescent="0.3">
      <c r="A10" s="16" t="s">
        <v>51</v>
      </c>
      <c r="B10">
        <f>IFERROR(GETPIVOTDATA("Employee Count",$A$3,"Gender","Female"),0)</f>
        <v>588</v>
      </c>
      <c r="C10" s="10">
        <f>IFERROR(B10/($B$10+$B$11),0)</f>
        <v>0.4</v>
      </c>
    </row>
    <row r="11" spans="1:3" x14ac:dyDescent="0.3">
      <c r="A11" s="17" t="s">
        <v>62</v>
      </c>
      <c r="B11">
        <f>IFERROR(GETPIVOTDATA("Employee Count",$A$3,"Gender","Male"),0)</f>
        <v>882</v>
      </c>
      <c r="C11" s="10">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E9E1C-9A5C-4574-969B-0BADB3371E2F}">
  <dimension ref="A3:B9"/>
  <sheetViews>
    <sheetView workbookViewId="0">
      <selection activeCell="L19" sqref="L19"/>
    </sheetView>
  </sheetViews>
  <sheetFormatPr defaultRowHeight="15.6" x14ac:dyDescent="0.3"/>
  <cols>
    <col min="1" max="1" width="16" bestFit="1" customWidth="1"/>
    <col min="2" max="2" width="22.796875" bestFit="1" customWidth="1"/>
  </cols>
  <sheetData>
    <row r="3" spans="1:2" x14ac:dyDescent="0.3">
      <c r="A3" s="15" t="s">
        <v>1565</v>
      </c>
      <c r="B3" s="2" t="s">
        <v>1555</v>
      </c>
    </row>
    <row r="4" spans="1:2" x14ac:dyDescent="0.3">
      <c r="A4" s="16" t="s">
        <v>134</v>
      </c>
      <c r="B4" s="2">
        <v>5</v>
      </c>
    </row>
    <row r="5" spans="1:2" x14ac:dyDescent="0.3">
      <c r="A5" s="17" t="s">
        <v>65</v>
      </c>
      <c r="B5" s="18">
        <v>31</v>
      </c>
    </row>
    <row r="6" spans="1:2" x14ac:dyDescent="0.3">
      <c r="A6" s="17" t="s">
        <v>55</v>
      </c>
      <c r="B6" s="18">
        <v>44</v>
      </c>
    </row>
    <row r="7" spans="1:2" x14ac:dyDescent="0.3">
      <c r="A7" s="17" t="s">
        <v>71</v>
      </c>
      <c r="B7" s="18">
        <v>58</v>
      </c>
    </row>
    <row r="8" spans="1:2" x14ac:dyDescent="0.3">
      <c r="A8" s="17" t="s">
        <v>77</v>
      </c>
      <c r="B8" s="18">
        <v>99</v>
      </c>
    </row>
    <row r="9" spans="1:2" x14ac:dyDescent="0.3">
      <c r="A9" s="19" t="s">
        <v>1566</v>
      </c>
      <c r="B9" s="3">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316CC-FD75-4371-AE64-8ACC6E975490}">
  <dimension ref="A3:F13"/>
  <sheetViews>
    <sheetView workbookViewId="0">
      <selection activeCell="I21" sqref="I21"/>
    </sheetView>
  </sheetViews>
  <sheetFormatPr defaultRowHeight="15.6" x14ac:dyDescent="0.3"/>
  <cols>
    <col min="1" max="1" width="23.296875" bestFit="1" customWidth="1"/>
    <col min="2" max="2" width="22.796875" bestFit="1" customWidth="1"/>
    <col min="5" max="5" width="24.59765625" customWidth="1"/>
  </cols>
  <sheetData>
    <row r="3" spans="1:6" x14ac:dyDescent="0.3">
      <c r="A3" s="15" t="s">
        <v>1565</v>
      </c>
      <c r="B3" s="2" t="s">
        <v>1555</v>
      </c>
      <c r="E3" t="s">
        <v>9</v>
      </c>
      <c r="F3" t="s">
        <v>0</v>
      </c>
    </row>
    <row r="4" spans="1:6" x14ac:dyDescent="0.3">
      <c r="A4" s="16" t="s">
        <v>83</v>
      </c>
      <c r="B4" s="2">
        <v>9</v>
      </c>
      <c r="E4" t="str">
        <f>A4</f>
        <v>Healthcare Representative</v>
      </c>
      <c r="F4">
        <f>GETPIVOTDATA("CF_attrition count",$A$3,"Job Role",A4)</f>
        <v>9</v>
      </c>
    </row>
    <row r="5" spans="1:6" x14ac:dyDescent="0.3">
      <c r="A5" s="17" t="s">
        <v>163</v>
      </c>
      <c r="B5" s="18">
        <v>12</v>
      </c>
      <c r="E5" t="str">
        <f t="shared" ref="E5:E12" si="0">A5</f>
        <v>Human Resources</v>
      </c>
      <c r="F5">
        <f t="shared" ref="F5:F12" si="1">GETPIVOTDATA("CF_attrition count",$A$3,"Job Role",A5)</f>
        <v>12</v>
      </c>
    </row>
    <row r="6" spans="1:6" x14ac:dyDescent="0.3">
      <c r="A6" s="17" t="s">
        <v>68</v>
      </c>
      <c r="B6" s="18">
        <v>62</v>
      </c>
      <c r="E6" t="str">
        <f t="shared" si="0"/>
        <v>Laboratory Technician</v>
      </c>
      <c r="F6">
        <f t="shared" si="1"/>
        <v>62</v>
      </c>
    </row>
    <row r="7" spans="1:6" x14ac:dyDescent="0.3">
      <c r="A7" s="17" t="s">
        <v>95</v>
      </c>
      <c r="B7" s="18">
        <v>5</v>
      </c>
      <c r="E7" t="str">
        <f t="shared" si="0"/>
        <v>Manager</v>
      </c>
      <c r="F7">
        <f t="shared" si="1"/>
        <v>5</v>
      </c>
    </row>
    <row r="8" spans="1:6" x14ac:dyDescent="0.3">
      <c r="A8" s="17" t="s">
        <v>81</v>
      </c>
      <c r="B8" s="18">
        <v>10</v>
      </c>
      <c r="E8" t="str">
        <f t="shared" si="0"/>
        <v>Manufacturing Director</v>
      </c>
      <c r="F8">
        <f t="shared" si="1"/>
        <v>10</v>
      </c>
    </row>
    <row r="9" spans="1:6" x14ac:dyDescent="0.3">
      <c r="A9" s="17" t="s">
        <v>101</v>
      </c>
      <c r="B9" s="18">
        <v>2</v>
      </c>
      <c r="E9" t="str">
        <f t="shared" si="0"/>
        <v>Research Director</v>
      </c>
      <c r="F9">
        <f t="shared" si="1"/>
        <v>2</v>
      </c>
    </row>
    <row r="10" spans="1:6" x14ac:dyDescent="0.3">
      <c r="A10" s="17" t="s">
        <v>63</v>
      </c>
      <c r="B10" s="18">
        <v>47</v>
      </c>
      <c r="E10" t="str">
        <f>A10</f>
        <v>Research Scientist</v>
      </c>
      <c r="F10">
        <f t="shared" si="1"/>
        <v>47</v>
      </c>
    </row>
    <row r="11" spans="1:6" x14ac:dyDescent="0.3">
      <c r="A11" s="17" t="s">
        <v>52</v>
      </c>
      <c r="B11" s="18">
        <v>57</v>
      </c>
      <c r="E11" t="str">
        <f t="shared" si="0"/>
        <v>Sales Executive</v>
      </c>
      <c r="F11">
        <f t="shared" si="1"/>
        <v>57</v>
      </c>
    </row>
    <row r="12" spans="1:6" x14ac:dyDescent="0.3">
      <c r="A12" s="17" t="s">
        <v>99</v>
      </c>
      <c r="B12" s="18">
        <v>33</v>
      </c>
      <c r="E12" t="str">
        <f t="shared" si="0"/>
        <v>Sales Representative</v>
      </c>
      <c r="F12">
        <f t="shared" si="1"/>
        <v>33</v>
      </c>
    </row>
    <row r="13" spans="1:6" x14ac:dyDescent="0.3">
      <c r="A13" s="19" t="s">
        <v>1566</v>
      </c>
      <c r="B13" s="3">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9D86B-ACAA-42EE-8C58-17082EA98222}">
  <dimension ref="A3:B7"/>
  <sheetViews>
    <sheetView workbookViewId="0">
      <selection activeCell="K17" sqref="K17"/>
    </sheetView>
  </sheetViews>
  <sheetFormatPr defaultRowHeight="15.6" x14ac:dyDescent="0.3"/>
  <cols>
    <col min="1" max="1" width="12.19921875" bestFit="1" customWidth="1"/>
    <col min="2" max="2" width="22.796875" bestFit="1" customWidth="1"/>
  </cols>
  <sheetData>
    <row r="3" spans="1:2" x14ac:dyDescent="0.3">
      <c r="A3" s="15" t="s">
        <v>1565</v>
      </c>
      <c r="B3" s="2" t="s">
        <v>1555</v>
      </c>
    </row>
    <row r="4" spans="1:2" x14ac:dyDescent="0.3">
      <c r="A4" s="16" t="s">
        <v>161</v>
      </c>
      <c r="B4" s="20">
        <v>5.0632911392405063E-2</v>
      </c>
    </row>
    <row r="5" spans="1:2" x14ac:dyDescent="0.3">
      <c r="A5" s="17" t="s">
        <v>60</v>
      </c>
      <c r="B5" s="21">
        <v>0.56118143459915615</v>
      </c>
    </row>
    <row r="6" spans="1:2" x14ac:dyDescent="0.3">
      <c r="A6" s="17" t="s">
        <v>48</v>
      </c>
      <c r="B6" s="21">
        <v>0.3881856540084388</v>
      </c>
    </row>
    <row r="7" spans="1:2" x14ac:dyDescent="0.3">
      <c r="A7" s="19" t="s">
        <v>1566</v>
      </c>
      <c r="B7" s="22">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6851A-A5D7-4407-BB24-85BB98948CDB}">
  <dimension ref="A3:B9"/>
  <sheetViews>
    <sheetView workbookViewId="0">
      <selection activeCell="B6" sqref="B6"/>
    </sheetView>
  </sheetViews>
  <sheetFormatPr defaultRowHeight="15.6" x14ac:dyDescent="0.3"/>
  <cols>
    <col min="1" max="1" width="12.19921875" bestFit="1" customWidth="1"/>
    <col min="2" max="2" width="22.796875" bestFit="1" customWidth="1"/>
  </cols>
  <sheetData>
    <row r="3" spans="1:2" x14ac:dyDescent="0.3">
      <c r="A3" s="15" t="s">
        <v>1565</v>
      </c>
      <c r="B3" s="2" t="s">
        <v>1555</v>
      </c>
    </row>
    <row r="4" spans="1:2" x14ac:dyDescent="0.3">
      <c r="A4" s="16" t="s">
        <v>69</v>
      </c>
      <c r="B4" s="2">
        <v>112</v>
      </c>
    </row>
    <row r="5" spans="1:2" x14ac:dyDescent="0.3">
      <c r="A5" s="17" t="s">
        <v>46</v>
      </c>
      <c r="B5" s="18">
        <v>51</v>
      </c>
    </row>
    <row r="6" spans="1:2" x14ac:dyDescent="0.3">
      <c r="A6" s="17" t="s">
        <v>92</v>
      </c>
      <c r="B6" s="18">
        <v>38</v>
      </c>
    </row>
    <row r="7" spans="1:2" x14ac:dyDescent="0.3">
      <c r="A7" s="17" t="s">
        <v>58</v>
      </c>
      <c r="B7" s="18">
        <v>25</v>
      </c>
    </row>
    <row r="8" spans="1:2" x14ac:dyDescent="0.3">
      <c r="A8" s="17" t="s">
        <v>75</v>
      </c>
      <c r="B8" s="18">
        <v>11</v>
      </c>
    </row>
    <row r="9" spans="1:2" x14ac:dyDescent="0.3">
      <c r="A9" s="19" t="s">
        <v>1566</v>
      </c>
      <c r="B9" s="3">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D5B74-8E52-44A8-8A3F-EA61296C5D17}">
  <dimension ref="A3:F7"/>
  <sheetViews>
    <sheetView workbookViewId="0">
      <selection activeCell="B4" sqref="B4"/>
    </sheetView>
  </sheetViews>
  <sheetFormatPr defaultRowHeight="15.6" x14ac:dyDescent="0.3"/>
  <cols>
    <col min="1" max="1" width="12.19921875" bestFit="1" customWidth="1"/>
    <col min="2" max="2" width="16" bestFit="1" customWidth="1"/>
    <col min="5" max="5" width="12.5" customWidth="1"/>
  </cols>
  <sheetData>
    <row r="3" spans="1:6" x14ac:dyDescent="0.3">
      <c r="A3" s="15" t="s">
        <v>1565</v>
      </c>
      <c r="B3" s="2" t="s">
        <v>1568</v>
      </c>
      <c r="E3" t="s">
        <v>1569</v>
      </c>
      <c r="F3" t="s">
        <v>0</v>
      </c>
    </row>
    <row r="4" spans="1:6" x14ac:dyDescent="0.3">
      <c r="A4" s="16" t="s">
        <v>79</v>
      </c>
      <c r="B4" s="2">
        <v>327</v>
      </c>
      <c r="E4" t="str">
        <f>A4</f>
        <v>Divorced</v>
      </c>
      <c r="F4">
        <f>GETPIVOTDATA("Attrition",$A$3,"Marital Status",A4)</f>
        <v>327</v>
      </c>
    </row>
    <row r="5" spans="1:6" x14ac:dyDescent="0.3">
      <c r="A5" s="17" t="s">
        <v>53</v>
      </c>
      <c r="B5" s="18">
        <v>470</v>
      </c>
      <c r="E5" t="str">
        <f t="shared" ref="E5:E6" si="0">A5</f>
        <v>Single</v>
      </c>
      <c r="F5">
        <f t="shared" ref="F5:F6" si="1">GETPIVOTDATA("Attrition",$A$3,"Marital Status",A5)</f>
        <v>470</v>
      </c>
    </row>
    <row r="6" spans="1:6" x14ac:dyDescent="0.3">
      <c r="A6" s="17" t="s">
        <v>64</v>
      </c>
      <c r="B6" s="18">
        <v>673</v>
      </c>
      <c r="E6" t="str">
        <f t="shared" si="0"/>
        <v>Married</v>
      </c>
      <c r="F6">
        <f t="shared" si="1"/>
        <v>673</v>
      </c>
    </row>
    <row r="7" spans="1:6" x14ac:dyDescent="0.3">
      <c r="A7" s="19" t="s">
        <v>1566</v>
      </c>
      <c r="B7" s="3">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A2" sqref="A2"/>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tabSelected="1" zoomScale="60" zoomScaleNormal="60" workbookViewId="0">
      <selection activeCell="AC21" sqref="AC21"/>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KPI</vt:lpstr>
      <vt:lpstr>Rating</vt:lpstr>
      <vt:lpstr>Gender</vt:lpstr>
      <vt:lpstr>Education</vt:lpstr>
      <vt:lpstr>Attrition by Job</vt:lpstr>
      <vt:lpstr>Dept of Attrition</vt:lpstr>
      <vt:lpstr>Attrition by Age Group</vt:lpstr>
      <vt:lpstr>Martial status</vt:lpstr>
      <vt:lpstr>Data</vt:lpstr>
      <vt:lpstr>Images</vt:lpstr>
      <vt:lpstr>Background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PRAYAS SAHOO</cp:lastModifiedBy>
  <dcterms:created xsi:type="dcterms:W3CDTF">2022-12-29T16:02:46Z</dcterms:created>
  <dcterms:modified xsi:type="dcterms:W3CDTF">2025-11-28T04:14:31Z</dcterms:modified>
</cp:coreProperties>
</file>